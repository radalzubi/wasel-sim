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Pipeline Overview" sheetId="1" state="visible" r:id="rId3"/>
    <sheet name="Rider Economics" sheetId="2" state="visible" r:id="rId4"/>
    <sheet name="Assumptions" sheetId="3" state="visible" r:id="rId5"/>
    <sheet name="Tiered Plans" sheetId="4" state="visible" r:id="rId6"/>
    <sheet name="Monthly P&amp;L" sheetId="5" state="visible" r:id="rId7"/>
    <sheet name="Unit Economics" sheetId="6" state="visible" r:id="rId8"/>
    <sheet name="Cash Flow" sheetId="7" state="visible" r:id="rId9"/>
    <sheet name="Stress Tests" sheetId="8" state="visible" r:id="rId10"/>
    <sheet name="Multi-Year Projections" sheetId="9" state="visible" r:id="rId11"/>
    <sheet name="Executive Summary" sheetId="10" state="visible" r:id="rId12"/>
    <sheet name="Market Expansion" sheetId="11" state="visible" r:id="rId13"/>
    <sheet name="Future Revenue Stream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<sst xmlns="http://schemas.openxmlformats.org/spreadsheetml/2006/main" count="1708" uniqueCount="1308">
  <si>
    <t xml:space="preserve">WASEL — REVISED MODEL PIPELINE</t>
  </si>
  <si>
    <t xml:space="preserve">Structured fixes addressing adversarial analysis | All figures JOD unless noted</t>
  </si>
  <si>
    <t xml:space="preserve">CAPITAL REALLOCATION SUMMARY</t>
  </si>
  <si>
    <t xml:space="preserve">#</t>
  </si>
  <si>
    <t xml:space="preserve">Item</t>
  </si>
  <si>
    <t xml:space="preserve">Before</t>
  </si>
  <si>
    <t xml:space="preserve">After (Revised)</t>
  </si>
  <si>
    <t xml:space="preserve">Year 1 Net Impact</t>
  </si>
  <si>
    <t xml:space="preserve">1</t>
  </si>
  <si>
    <t xml:space="preserve">Bank Guarantee (LTRC confirmed JD 25K, not JD 50K)</t>
  </si>
  <si>
    <t xml:space="preserve">JD 50,000 locked</t>
  </si>
  <si>
    <t xml:space="preserve">JD 25,000 locked</t>
  </si>
  <si>
    <t xml:space="preserve">+JD 25,000 freed capital</t>
  </si>
  <si>
    <t xml:space="preserve">2</t>
  </si>
  <si>
    <t xml:space="preserve">Driver Tier — Standard soft-cap raised 6→8 trips/day</t>
  </si>
  <si>
    <t xml:space="preserve">Driver net: JD 20/mo</t>
  </si>
  <si>
    <t xml:space="preserve">Driver net: JD 123/mo</t>
  </si>
  <si>
    <t xml:space="preserve">Viability restored; churn ↓</t>
  </si>
  <si>
    <t xml:space="preserve">3</t>
  </si>
  <si>
    <t xml:space="preserve">Driver tier blended fare adjusted (5% below Uber/Careem)</t>
  </si>
  <si>
    <t xml:space="preserve">JD 2.50/trip</t>
  </si>
  <si>
    <t xml:space="preserve">JD 2.37/trip</t>
  </si>
  <si>
    <t xml:space="preserve">Rider acquisition ↑; driver GMV maintained via higher trip cap</t>
  </si>
  <si>
    <t xml:space="preserve">4</t>
  </si>
  <si>
    <t xml:space="preserve">Rider marketing — phased spend (see Rider Economics)</t>
  </si>
  <si>
    <t xml:space="preserve">JD 3,000/mo flat</t>
  </si>
  <si>
    <t xml:space="preserve">JD 12K/8K/5K by phase</t>
  </si>
  <si>
    <t xml:space="preserve">−JD 54,000 additional spend</t>
  </si>
  <si>
    <t xml:space="preserve">5</t>
  </si>
  <si>
    <t xml:space="preserve">Rider subscription revenue (new stream — Wasel Go + Pass)</t>
  </si>
  <si>
    <t xml:space="preserve">JD 0</t>
  </si>
  <si>
    <t xml:space="preserve">~JD 130K Year 1</t>
  </si>
  <si>
    <t xml:space="preserve">+JD 130K new revenue</t>
  </si>
  <si>
    <t xml:space="preserve">6</t>
  </si>
  <si>
    <t xml:space="preserve">Boycott tailwind — 1.25× rider acquisition efficiency</t>
  </si>
  <si>
    <t xml:space="preserve">Not modelled</t>
  </si>
  <si>
    <t xml:space="preserve">Modelled explicitly</t>
  </si>
  <si>
    <t xml:space="preserve">Same spend → 25% more riders</t>
  </si>
  <si>
    <t xml:space="preserve">7</t>
  </si>
  <si>
    <t xml:space="preserve">OPEX variance decomposed (JD 404K → real line items)</t>
  </si>
  <si>
    <t xml:space="preserve">Single opaque line</t>
  </si>
  <si>
    <t xml:space="preserve">8 explicit buckets + Y2 tail</t>
  </si>
  <si>
    <t xml:space="preserve">Investor credibility +</t>
  </si>
  <si>
    <t xml:space="preserve">8</t>
  </si>
  <si>
    <t xml:space="preserve">30% MoM driver growth re-anchored to rider demand floor</t>
  </si>
  <si>
    <t xml:space="preserve">Assumed, unvalidated</t>
  </si>
  <si>
    <t xml:space="preserve">Demand-justified at 28-30%</t>
  </si>
  <si>
    <t xml:space="preserve">Model defensibility ↑</t>
  </si>
  <si>
    <t xml:space="preserve">9</t>
  </si>
  <si>
    <t xml:space="preserve">Rider Economics sheet added (new)</t>
  </si>
  <si>
    <t xml:space="preserve">Full 12-month rider model</t>
  </si>
  <si>
    <t xml:space="preserve">2nd revenue pillar in Y1</t>
  </si>
  <si>
    <t xml:space="preserve">YEAR 1 P&amp;L DELTA (BASE vs. REVISED)</t>
  </si>
  <si>
    <t xml:space="preserve">Line Item</t>
  </si>
  <si>
    <t xml:space="preserve">Base Model (JOD)</t>
  </si>
  <si>
    <t xml:space="preserve">Revised Model (JOD)</t>
  </si>
  <si>
    <t xml:space="preserve">Delta</t>
  </si>
  <si>
    <t xml:space="preserve">Driver Subscription Revenue</t>
  </si>
  <si>
    <t xml:space="preserve">Rider Subscription Revenue (NEW)</t>
  </si>
  <si>
    <t xml:space="preserve">Total Revenue</t>
  </si>
  <si>
    <t xml:space="preserve">Cost of Revenue</t>
  </si>
  <si>
    <t xml:space="preserve">Gross Profit</t>
  </si>
  <si>
    <t xml:space="preserve">  Gross Margin %</t>
  </si>
  <si>
    <t xml:space="preserve">11.5%</t>
  </si>
  <si>
    <t xml:space="preserve">51.6%</t>
  </si>
  <si>
    <t xml:space="preserve">↑ 40pp</t>
  </si>
  <si>
    <t xml:space="preserve">Total Operating Expenses (before rider mktg adj.)</t>
  </si>
  <si>
    <t xml:space="preserve">  Additional Rider Marketing Spend</t>
  </si>
  <si>
    <t xml:space="preserve">Adjusted EBITDA</t>
  </si>
  <si>
    <t xml:space="preserve">Net Loss (Year 1)</t>
  </si>
  <si>
    <t xml:space="preserve">  Capital Freed (bank guarantee fix)</t>
  </si>
  <si>
    <t xml:space="preserve">Effective Funding Gap (revised)</t>
  </si>
  <si>
    <t xml:space="preserve">Recommended Raise (with 30% buffer, JOD)</t>
  </si>
  <si>
    <t xml:space="preserve">Note: Rider Revenue assumes 10% subscriber adoption at JOD 7.25 blended ARPU. Conservative estimate: 25,000 riders by Month 9. Full model in 'Rider Economics' sheet.</t>
  </si>
  <si>
    <t xml:space="preserve">WASEL — RIDER ECONOMICS &amp; DEMAND-SIDE MODEL</t>
  </si>
  <si>
    <t xml:space="preserve">Revised model integrating boycott tailwind, rider tier subscriptions, and phased marketing spend | JOD</t>
  </si>
  <si>
    <t xml:space="preserve">BOYCOTT TAILWIND ANALYSIS</t>
  </si>
  <si>
    <t xml:space="preserve">Factor</t>
  </si>
  <si>
    <t xml:space="preserve">Detail</t>
  </si>
  <si>
    <t xml:space="preserve">Evidence / Source</t>
  </si>
  <si>
    <t xml:space="preserve">Trigger</t>
  </si>
  <si>
    <t xml:space="preserve">Uber invested $30M+ in Israeli drone firm Flytrex (Sep 2025)</t>
  </si>
  <si>
    <t xml:space="preserve">Source: Middle East Monitor, Business &amp; Human Rights Resource Centre</t>
  </si>
  <si>
    <t xml:space="preserve">Careem exposure</t>
  </si>
  <si>
    <t xml:space="preserve">Careem is 100% Uber-owned; same reputational contagion</t>
  </si>
  <si>
    <t xml:space="preserve">Source: Wikipedia / Uber newsroom</t>
  </si>
  <si>
    <t xml:space="preserve">Jordan sentiment</t>
  </si>
  <si>
    <t xml:space="preserve">Strong pro-Palestine consumer activism; prior social media campaigns (#boycottUberandCareem)</t>
  </si>
  <si>
    <t xml:space="preserve">Source: Arabian Business; IAATW worker pledges</t>
  </si>
  <si>
    <t xml:space="preserve">Market gap</t>
  </si>
  <si>
    <t xml:space="preserve">Only 4 licensed operators; Uber + Careem hold 11,600 of 11,600 vehicles</t>
  </si>
  <si>
    <t xml:space="preserve">Source: Jordan News, Dec 2024</t>
  </si>
  <si>
    <t xml:space="preserve">Careem's lost edge</t>
  </si>
  <si>
    <t xml:space="preserve">'Local company' brand perception lost post-Uber merger — golden opportunity for a true Jordanian app</t>
  </si>
  <si>
    <t xml:space="preserve">Source: Fast Company / MJE</t>
  </si>
  <si>
    <t xml:space="preserve">Acquisition efficiency multiplier</t>
  </si>
  <si>
    <t xml:space="preserve">1.25× — same JOD of marketing captures 25% more riders vs. neutral market</t>
  </si>
  <si>
    <t xml:space="preserve">Conservative estimate; BDS-driven organic lift</t>
  </si>
  <si>
    <t xml:space="preserve">Driver switching tailwind</t>
  </si>
  <si>
    <t xml:space="preserve">Drivers want to 'work Jordanian'; reduces effective CAC by 10-15%</t>
  </si>
  <si>
    <t xml:space="preserve">Qualitative; consistent with Careem's own original growth story</t>
  </si>
  <si>
    <t xml:space="preserve">RIDER TIER STRUCTURE (JORDAN-OPTIMISED)</t>
  </si>
  <si>
    <t xml:space="preserve">Tier</t>
  </si>
  <si>
    <t xml:space="preserve">Monthly Fee (JOD)</t>
  </si>
  <si>
    <t xml:space="preserve">Fare Discount</t>
  </si>
  <si>
    <t xml:space="preserve">Cancellations</t>
  </si>
  <si>
    <t xml:space="preserve">Surge Protection</t>
  </si>
  <si>
    <t xml:space="preserve">Break-even Rides/Mo</t>
  </si>
  <si>
    <t xml:space="preserve">Target Segment</t>
  </si>
  <si>
    <t xml:space="preserve">Standard (Free)</t>
  </si>
  <si>
    <t xml:space="preserve">None</t>
  </si>
  <si>
    <t xml:space="preserve">2 free</t>
  </si>
  <si>
    <t xml:space="preserve">No</t>
  </si>
  <si>
    <t xml:space="preserve">N/A</t>
  </si>
  <si>
    <t xml:space="preserve">Occasional, cash-preferring users</t>
  </si>
  <si>
    <t xml:space="preserve">Wasel Go — JD 5/mo</t>
  </si>
  <si>
    <t xml:space="preserve">JD 5</t>
  </si>
  <si>
    <t xml:space="preserve">10% off all rides</t>
  </si>
  <si>
    <t xml:space="preserve">6 free</t>
  </si>
  <si>
    <t xml:space="preserve">Capped at JD 2.00 surcharge</t>
  </si>
  <si>
    <t xml:space="preserve">21 rides (JD 0.237/ride savings)</t>
  </si>
  <si>
    <t xml:space="preserve">Regular commuters, university students, 3×/week users</t>
  </si>
  <si>
    <t xml:space="preserve">Wasel Pass — JD 10/mo</t>
  </si>
  <si>
    <t xml:space="preserve">JD 10</t>
  </si>
  <si>
    <t xml:space="preserve">18% off + 2 free rides/mo (JD 4.74 value)</t>
  </si>
  <si>
    <t xml:space="preserve">Unlimited</t>
  </si>
  <si>
    <t xml:space="preserve">No surge pricing</t>
  </si>
  <si>
    <t xml:space="preserve">12 rides</t>
  </si>
  <si>
    <t xml:space="preserve">Daily commuters, corporate users, road-warriors</t>
  </si>
  <si>
    <t xml:space="preserve">Note: Revised fare JD 2.37/trip (5% below Uber/Careem ~JD 2.50). Wasel Go break-even: JD 5 ÷ (JD 2.37 × 10%) = 21 rides/month.</t>
  </si>
  <si>
    <t xml:space="preserve">Note: Payment via eFAWATEERcom, MadfooatCom, or in-app digital wallet. Cash top-up agents planned at petrol stations + pharmacies (Phase 2).</t>
  </si>
  <si>
    <t xml:space="preserve">Note: Student pass promotion — 3 months free Wasel Go for verified university ID. Target: 28 accredited universities in Jordan (~350,000 students).</t>
  </si>
  <si>
    <t xml:space="preserve">MONTHLY RIDER ACQUISITION &amp; SUBSCRIPTION REVENUE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</si>
  <si>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</si>
  <si>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</si>
  <si>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</si>
  <si>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</si>
  <si>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</si>
  <si>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</si>
  <si>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</si>
  <si>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</si>
  <si>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</si>
  <si>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</si>
  <si>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</si>
  <si>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</si>
  <si>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1 Total</t>
  </si>
  <si>
    <t xml:space="preserve">New Riders Acquired</t>
  </si>
  <si>
    <t xml:space="preserve">Boycott Efficiency Multiplier</t>
  </si>
  <si>
    <t xml:space="preserve">—</t>
  </si>
  <si>
    <t xml:space="preserve">Effective New Riders (adj.)</t>
  </si>
  <si>
    <t xml:space="preserve">Total Active Rider Base (EoM)</t>
  </si>
  <si>
    <t xml:space="preserve">  — Standard (free, 85%)</t>
  </si>
  <si>
    <t xml:space="preserve">  — Wasel Go (paid, 10%)</t>
  </si>
  <si>
    <t xml:space="preserve">  — Wasel Pass (paid, 5%)</t>
  </si>
  <si>
    <t xml:space="preserve">Rider Marketing Spend (JOD)</t>
  </si>
  <si>
    <t xml:space="preserve">Cost per Rider Acquired — Base (JOD)</t>
  </si>
  <si>
    <t xml:space="preserve">Cost per Rider Acquired — Eff. (JOD)</t>
  </si>
  <si>
    <t xml:space="preserve">Wasel Go Revenue (JOD)</t>
  </si>
  <si>
    <t xml:space="preserve">Wasel Pass Revenue (JOD)</t>
  </si>
  <si>
    <t xml:space="preserve">Total Rider Subscription Revenue (JOD)</t>
  </si>
  <si>
    <t xml:space="preserve">RIDER DEMAND vs. DRIVER CAPACITY VALIDATION</t>
  </si>
  <si>
    <t xml:space="preserve">Metric</t>
  </si>
  <si>
    <t xml:space="preserve">Month 6</t>
  </si>
  <si>
    <t xml:space="preserve">Month 9</t>
  </si>
  <si>
    <t xml:space="preserve">Month 12</t>
  </si>
  <si>
    <t xml:space="preserve">Notes</t>
  </si>
  <si>
    <t xml:space="preserve">Active Riders (EoM)</t>
  </si>
  <si>
    <t xml:space="preserve">Blended organic + paid acquisition with boycott 1.25x</t>
  </si>
  <si>
    <t xml:space="preserve">Avg Rides per Rider per Month</t>
  </si>
  <si>
    <t xml:space="preserve">Blended: 60% light (4), 30% regular (12), 10% heavy (25)</t>
  </si>
  <si>
    <t xml:space="preserve">Total Demand-Side Rides</t>
  </si>
  <si>
    <t xml:space="preserve">Rides that riders want to take</t>
  </si>
  <si>
    <t xml:space="preserve">Total Supply-Side Rides (from P&amp;L model)</t>
  </si>
  <si>
    <t xml:space="preserve">Driver capacity × trips/day assumption (from Monthly P&amp;L)</t>
  </si>
  <si>
    <t xml:space="preserve">Demand Coverage %</t>
  </si>
  <si>
    <t xml:space="preserve">118%</t>
  </si>
  <si>
    <t xml:space="preserve">95%</t>
  </si>
  <si>
    <t xml:space="preserve">68%</t>
  </si>
  <si>
    <t xml:space="preserve">Must be &gt;100% to avoid supply constraint. &lt;80% = supply underutilised</t>
  </si>
  <si>
    <t xml:space="preserve">⚠ DEMAND GAP: At Month 12, rider demand (~263,781 rides) covers only 76% of supply capacity (346,086 rides).</t>
  </si>
  <si>
    <t xml:space="preserve">  → ACTION: Accelerate rider acquisition in Phase 3. Target 40,000 riders by Month 12 to fully validate 9 trips/day driver assumption.</t>
  </si>
  <si>
    <t xml:space="preserve">  → ALTERNATIVE: Adjust driver trip assumption to 7.5 trips/day for Months 10-12, or launch corporate accounts to fill gap.</t>
  </si>
  <si>
    <t xml:space="preserve">OPEX VARIANCE DECOMPOSITION (FIX 7: JD 403,880 → REAL LINE ITEMS)</t>
  </si>
  <si>
    <t xml:space="preserve">Y1 Amount (JOD)</t>
  </si>
  <si>
    <t xml:space="preserve">Y2 Tail (15%)</t>
  </si>
  <si>
    <t xml:space="preserve">Y3 Tail (5%)</t>
  </si>
  <si>
    <t xml:space="preserve">Type</t>
  </si>
  <si>
    <t xml:space="preserve">Rationale</t>
  </si>
  <si>
    <t xml:space="preserve">Legal / regulatory dispute reserves</t>
  </si>
  <si>
    <t xml:space="preserve">One-time + tail</t>
  </si>
  <si>
    <t xml:space="preserve">LTRC challenges, driver disputes, IP</t>
  </si>
  <si>
    <t xml:space="preserve">Technology rebuild / MVP v2</t>
  </si>
  <si>
    <t xml:space="preserve">Post-launch rebuild from real user feedback</t>
  </si>
  <si>
    <t xml:space="preserve">Regulatory compliance contingency</t>
  </si>
  <si>
    <t xml:space="preserve">Annual + tail</t>
  </si>
  <si>
    <t xml:space="preserve">LTRC annual audit, data compliance, permit battles</t>
  </si>
  <si>
    <t xml:space="preserve">Launch friction / operational delays</t>
  </si>
  <si>
    <t xml:space="preserve">One-time</t>
  </si>
  <si>
    <t xml:space="preserve">Delayed hiring, vendor disputes, logistics</t>
  </si>
  <si>
    <t xml:space="preserve">Additional rider marketing (Phase 1-3)</t>
  </si>
  <si>
    <t xml:space="preserve">Reclassified</t>
  </si>
  <si>
    <t xml:space="preserve">Moved to Rider Economics dedicated budget</t>
  </si>
  <si>
    <t xml:space="preserve">OPEX overrun buffer (sales tax, utilities, misc)</t>
  </si>
  <si>
    <t xml:space="preserve">Rolling</t>
  </si>
  <si>
    <t xml:space="preserve">Catch-all for &lt;JD5K items</t>
  </si>
  <si>
    <t xml:space="preserve">TOTAL OPEX VARIANCE</t>
  </si>
  <si>
    <t xml:space="preserve">JD 46K recurs in Y2; JD 15K in Y3 (vs JD 0 in base model)</t>
  </si>
  <si>
    <t xml:space="preserve">Note: Revised total Y1 OPEX variance = JD 357,880 (vs. JD 403,880 original). Delta of JD 46,000 reclassified into rider marketing budget (explicit line item in Rider Economics sheet).</t>
  </si>
  <si>
    <t xml:space="preserve">REVISED ASSUMPTIONS ADDENDUM (CORRECTIONS TO SOURCE MODEL)</t>
  </si>
  <si>
    <t xml:space="preserve">Parameter</t>
  </si>
  <si>
    <t xml:space="preserve">Original Value</t>
  </si>
  <si>
    <t xml:space="preserve">Revised Value</t>
  </si>
  <si>
    <t xml:space="preserve">Source / Regulation</t>
  </si>
  <si>
    <t xml:space="preserve">LTRC Bank Guarantee</t>
  </si>
  <si>
    <t xml:space="preserve">JD 50,000</t>
  </si>
  <si>
    <t xml:space="preserve">JD 25,000</t>
  </si>
  <si>
    <t xml:space="preserve">Jordan.gov.jo official LTRC regulation — JD 25K statutory requirement. Model overstated by JD 25K.</t>
  </si>
  <si>
    <t xml:space="preserve">Driver tier — Standard trip soft-cap</t>
  </si>
  <si>
    <t xml:space="preserve">6 trips/day</t>
  </si>
  <si>
    <t xml:space="preserve">8 trips/day</t>
  </si>
  <si>
    <t xml:space="preserve">Revised to make Standard tier economically viable. Net income: JD 20 → JD 123/month.</t>
  </si>
  <si>
    <t xml:space="preserve">Driver tier — Plus (was Core) trip cap</t>
  </si>
  <si>
    <t xml:space="preserve">9 trips/day</t>
  </si>
  <si>
    <t xml:space="preserve">11 trips/day</t>
  </si>
  <si>
    <t xml:space="preserve">Differentiation from Standard maintained. Net income improves.</t>
  </si>
  <si>
    <t xml:space="preserve">Driver tier — Pro trip cap</t>
  </si>
  <si>
    <t xml:space="preserve">12 trips/day</t>
  </si>
  <si>
    <t xml:space="preserve">13 trips/day</t>
  </si>
  <si>
    <t xml:space="preserve">Marginal improvement; Pro remains premium tier anchor.</t>
  </si>
  <si>
    <t xml:space="preserve">Avg fare per trip</t>
  </si>
  <si>
    <t xml:space="preserve">JD 2.50</t>
  </si>
  <si>
    <t xml:space="preserve">JD 2.37</t>
  </si>
  <si>
    <t xml:space="preserve">5% below Uber/Careem standard fare. Rider acquisition tactic. Wasel earns subscriptions, not % of fare — fare reduction does not reduce platform revenue.</t>
  </si>
  <si>
    <t xml:space="preserve">Driver blended net income (Standard)</t>
  </si>
  <si>
    <t xml:space="preserve">JD 20/month</t>
  </si>
  <si>
    <t xml:space="preserve">JD 122.96/month</t>
  </si>
  <si>
    <t xml:space="preserve">Combined effect of raised trip cap (8) and fare adjustment. Starter tier now viable.</t>
  </si>
  <si>
    <t xml:space="preserve">Rider marketing budget</t>
  </si>
  <si>
    <t xml:space="preserve">JD 3,000/month flat</t>
  </si>
  <si>
    <t xml:space="preserve">JD 12K / JD 8K / JD 5K (phased)</t>
  </si>
  <si>
    <t xml:space="preserve">Phase 1 (M1-3), Phase 2 (M4-6), Phase 3 (M7-12). Total Y1: JD 90K vs JD 36K base.</t>
  </si>
  <si>
    <t xml:space="preserve">Monthly driver growth rate (revised)</t>
  </si>
  <si>
    <t xml:space="preserve">30% MoM assumed</t>
  </si>
  <si>
    <t xml:space="preserve">28% MoM (demand-anchored)</t>
  </si>
  <si>
    <t xml:space="preserve">Modest reduction. Rider demand floor (from rider model) now validates driver volume assumptions.</t>
  </si>
  <si>
    <t xml:space="preserve">Boycott efficiency multiplier</t>
  </si>
  <si>
    <t xml:space="preserve">1.25×</t>
  </si>
  <si>
    <t xml:space="preserve">Conservative estimate based on documented Uber/Flytrex boycott (Sep 2025) and Jordan's pro-Palestine consumer sentiment.</t>
  </si>
  <si>
    <t xml:space="preserve">Licensed app vehicles in Jordan (LTRC)</t>
  </si>
  <si>
    <t xml:space="preserve">Not referenced</t>
  </si>
  <si>
    <t xml:space="preserve">11,600 total (6K Uber + 6K Careem + 1K others)</t>
  </si>
  <si>
    <t xml:space="preserve">Jordan News, Dec 2024. Wasel targets ~3,000 in Phase 1 (within JD 100K license tier).</t>
  </si>
  <si>
    <t xml:space="preserve">WASEL — SUBSCRIPTION-BASED RIDE-HAILING PLATFORM</t>
  </si>
  <si>
    <t xml:space="preserve">MASTER ASSUMPTIONS &amp; INPUTS (REVISED)</t>
  </si>
  <si>
    <t xml:space="preserve">MARKET &amp; LAUNCH PARAMETERS</t>
  </si>
  <si>
    <t xml:space="preserve">Value</t>
  </si>
  <si>
    <t xml:space="preserve">Unit</t>
  </si>
  <si>
    <t xml:space="preserve">Source / Notes</t>
  </si>
  <si>
    <t xml:space="preserve">Target City</t>
  </si>
  <si>
    <t xml:space="preserve">Amman</t>
  </si>
  <si>
    <t xml:space="preserve">Capital of Jordan; 4.5M metro population</t>
  </si>
  <si>
    <t xml:space="preserve">Launch Month</t>
  </si>
  <si>
    <t xml:space="preserve">Month 1</t>
  </si>
  <si>
    <t xml:space="preserve">Phase 1 launch target</t>
  </si>
  <si>
    <t xml:space="preserve">Avg Fare per Trip (JOD)</t>
  </si>
  <si>
    <t xml:space="preserve">JOD</t>
  </si>
  <si>
    <t xml:space="preserve">Benchmark: taxi rides 2-3 JOD within Amman; similar in Irbid/Zarqa</t>
  </si>
  <si>
    <t xml:space="preserve">Avg Trips per Driver per Day (Blended)</t>
  </si>
  <si>
    <t xml:space="preserve">trips</t>
  </si>
  <si>
    <t xml:space="preserve">Range 7-11; blended across tiers, higher for multi-city</t>
  </si>
  <si>
    <t xml:space="preserve">Operating Days per Month</t>
  </si>
  <si>
    <t xml:space="preserve">days</t>
  </si>
  <si>
    <t xml:space="preserve">6 days/week average</t>
  </si>
  <si>
    <t xml:space="preserve">Est. Monthly Gross Fare Revenue (Blended)</t>
  </si>
  <si>
    <t xml:space="preserve">JOD/driver</t>
  </si>
  <si>
    <t xml:space="preserve">Targeting ~JD 450–650; validates driver economics</t>
  </si>
  <si>
    <t xml:space="preserve">Payment Mix — Cash %</t>
  </si>
  <si>
    <t xml:space="preserve">%</t>
  </si>
  <si>
    <t xml:space="preserve">Jordan cash-heavy; &lt;50% made digital payment in 2024</t>
  </si>
  <si>
    <t xml:space="preserve">Payment Mix — Digital %</t>
  </si>
  <si>
    <t xml:space="preserve">Growing: mobile wallets at 2.59M users (2024)</t>
  </si>
  <si>
    <t xml:space="preserve">Payment Processing Fee (Digital)</t>
  </si>
  <si>
    <t xml:space="preserve">HyperPay/MadfooatCom MENA standard: 2.5-3.5%</t>
  </si>
  <si>
    <t xml:space="preserve">JOD to USD Exchange Rate</t>
  </si>
  <si>
    <t xml:space="preserve">USD/JOD</t>
  </si>
  <si>
    <t xml:space="preserve">Fixed peg: 1 JOD ≈ $1.41 USD</t>
  </si>
  <si>
    <t xml:space="preserve">DRIVER ECONOMICS</t>
  </si>
  <si>
    <t xml:space="preserve">Fuel Cost / Driver / Month</t>
  </si>
  <si>
    <t xml:space="preserve">~JD 7.70/day × 26 days; Amman fuel prices</t>
  </si>
  <si>
    <t xml:space="preserve">Maintenance Cost / Driver / Month</t>
  </si>
  <si>
    <t xml:space="preserve">Oil, tires, brakes, general upkeep</t>
  </si>
  <si>
    <t xml:space="preserve">Data &amp; Misc / Driver / Month</t>
  </si>
  <si>
    <t xml:space="preserve">Mobile data plan + misc expenses</t>
  </si>
  <si>
    <t xml:space="preserve">Total Driver Operating Costs</t>
  </si>
  <si>
    <t xml:space="preserve">JOD/mo</t>
  </si>
  <si>
    <t xml:space="preserve">Total monthly cost to operate as a driver</t>
  </si>
  <si>
    <t xml:space="preserve">Net Driver Income (Before Subscription)</t>
  </si>
  <si>
    <t xml:space="preserve">Gross fares minus driver operating costs</t>
  </si>
  <si>
    <t xml:space="preserve">Net Driver Income (After Sub, Blended)</t>
  </si>
  <si>
    <t xml:space="preserve">After Wasel subscription fee (blended avg)</t>
  </si>
  <si>
    <t xml:space="preserve">DRIVER GROWTH ASSUMPTIONS</t>
  </si>
  <si>
    <t xml:space="preserve">Starting Drivers (Month 1)</t>
  </si>
  <si>
    <t xml:space="preserve">drivers</t>
  </si>
  <si>
    <t xml:space="preserve">Soft launch cohort in Amman; expanding to Irbid/Zarqa/Aqaba in Y1</t>
  </si>
  <si>
    <t xml:space="preserve">Monthly Driver Growth Rate</t>
  </si>
  <si>
    <t xml:space="preserve">% MoM</t>
  </si>
  <si>
    <t xml:space="preserve">Validated with driver community; 30% MoM driven by word-of-mouth + JD 15 referral + solving real pain (30% commission)</t>
  </si>
  <si>
    <t xml:space="preserve">Max Drivers (Phase 1 Cap)</t>
  </si>
  <si>
    <t xml:space="preserve">Amman capacity constraint; Phase 1 ceiling</t>
  </si>
  <si>
    <t xml:space="preserve">GRADUATED ONBOARDING PROGRAM</t>
  </si>
  <si>
    <t xml:space="preserve">Stage</t>
  </si>
  <si>
    <t xml:space="preserve">Duration</t>
  </si>
  <si>
    <t xml:space="preserve">Sub Fee (JOD)</t>
  </si>
  <si>
    <t xml:space="preserve">Trip Soft-Cap</t>
  </si>
  <si>
    <t xml:space="preserve">Churn at Transition</t>
  </si>
  <si>
    <t xml:space="preserve">Month 0 (Trial)</t>
  </si>
  <si>
    <t xml:space="preserve">1 month</t>
  </si>
  <si>
    <t xml:space="preserve">5 trips/day</t>
  </si>
  <si>
    <t xml:space="preserve">Free trial; limited dispatches to reduce risk</t>
  </si>
  <si>
    <t xml:space="preserve">Month 1 (Ramp)</t>
  </si>
  <si>
    <t xml:space="preserve">7 trips/day</t>
  </si>
  <si>
    <t xml:space="preserve">Discounted ramp; 12% drop at full-price transition</t>
  </si>
  <si>
    <t xml:space="preserve">Month 2+ (Active)</t>
  </si>
  <si>
    <t xml:space="preserve">Ongoing</t>
  </si>
  <si>
    <t xml:space="preserve">Auto-assign tier</t>
  </si>
  <si>
    <t xml:space="preserve">Per tier</t>
  </si>
  <si>
    <t xml:space="preserve">See below</t>
  </si>
  <si>
    <t xml:space="preserve">Full platform access; tier-based pricing</t>
  </si>
  <si>
    <t xml:space="preserve">TRANSITION-BASED CHURN</t>
  </si>
  <si>
    <t xml:space="preserve">Transition Point</t>
  </si>
  <si>
    <t xml:space="preserve">Churn Rate</t>
  </si>
  <si>
    <t xml:space="preserve">M0 → M1 (trial to ramp)</t>
  </si>
  <si>
    <t xml:space="preserve">30% drop at first payment wall</t>
  </si>
  <si>
    <t xml:space="preserve">25% drop at first payment wall (improved with JD 10 ramp pricing)</t>
  </si>
  <si>
    <t xml:space="preserve">M1 → M2 (ramp to full price)</t>
  </si>
  <si>
    <t xml:space="preserve">12% drop at full-price tier assignment</t>
  </si>
  <si>
    <t xml:space="preserve">M2–M6 (early active)</t>
  </si>
  <si>
    <t xml:space="preserve">5% monthly; still building loyalty</t>
  </si>
  <si>
    <t xml:space="preserve">M6+ (mature)</t>
  </si>
  <si>
    <t xml:space="preserve">2.5% monthly; strong retention</t>
  </si>
  <si>
    <t xml:space="preserve">TIERED SUBSCRIPTION PLAN — DRIVER FEES (3 TIERS)</t>
  </si>
  <si>
    <t xml:space="preserve">Tier Name</t>
  </si>
  <si>
    <t xml:space="preserve">Monthly Fee (USD)</t>
  </si>
  <si>
    <t xml:space="preserve">Driver Mix %</t>
  </si>
  <si>
    <t xml:space="preserve">Trips/Day (Soft-Cap)</t>
  </si>
  <si>
    <t xml:space="preserve">Est. Monthly Driver Revenue (JOD)</t>
  </si>
  <si>
    <t xml:space="preserve">Key Benefits</t>
  </si>
  <si>
    <t xml:space="preserve">🟢 Starter</t>
  </si>
  <si>
    <t xml:space="preserve">Standard ride queue, basic app access, self-managed</t>
  </si>
  <si>
    <t xml:space="preserve">🔵 Core</t>
  </si>
  <si>
    <t xml:space="preserve">Priority dispatch, premium rides, phone support, roadside assist</t>
  </si>
  <si>
    <t xml:space="preserve">🟡 Pro</t>
  </si>
  <si>
    <t xml:space="preserve">Top priority, VIP rides, insurance subsidy, maintenance discounts</t>
  </si>
  <si>
    <t xml:space="preserve">Blended Avg Fee (JOD)</t>
  </si>
  <si>
    <t xml:space="preserve">Validation:</t>
  </si>
  <si>
    <t xml:space="preserve">Blended Avg Fee (USD)</t>
  </si>
  <si>
    <t xml:space="preserve">INSURANCE &amp; MAINTENANCE INCENTIVE PROGRAM</t>
  </si>
  <si>
    <t xml:space="preserve">Program Component</t>
  </si>
  <si>
    <t xml:space="preserve">Cost to Platform (JOD/driver/mo)</t>
  </si>
  <si>
    <t xml:space="preserve">Eligible Tiers</t>
  </si>
  <si>
    <t xml:space="preserve">Description</t>
  </si>
  <si>
    <t xml:space="preserve">Third-Party Liability (Group Policy)</t>
  </si>
  <si>
    <t xml:space="preserve">All Tiers</t>
  </si>
  <si>
    <t xml:space="preserve">Platform-level group policy; JD 20K min/accident per regulation</t>
  </si>
  <si>
    <t xml:space="preserve">Comprehensive Top-Up Subsidy</t>
  </si>
  <si>
    <t xml:space="preserve">Pro Only</t>
  </si>
  <si>
    <t xml:space="preserve">Subsidized comprehensive coverage (collision + theft); platform pays ~50%</t>
  </si>
  <si>
    <t xml:space="preserve">Roadside Assistance Partnership</t>
  </si>
  <si>
    <t xml:space="preserve">Core + Pro</t>
  </si>
  <si>
    <t xml:space="preserve">24/7 roadside assistance via local partner (AAJ / insurer add-on)</t>
  </si>
  <si>
    <t xml:space="preserve">Maintenance Discount Network</t>
  </si>
  <si>
    <t xml:space="preserve">15-25% discount at partner garages; platform subsidizes booking fee</t>
  </si>
  <si>
    <t xml:space="preserve">Blended Insurance Cost / Driver / Mo</t>
  </si>
  <si>
    <t xml:space="preserve">Weighted avg across 3-tier mix</t>
  </si>
  <si>
    <t xml:space="preserve">OPERATING COST ASSUMPTIONS (MONTHLY)</t>
  </si>
  <si>
    <t xml:space="preserve">Cost Category</t>
  </si>
  <si>
    <t xml:space="preserve">Monthly Cost (JOD)</t>
  </si>
  <si>
    <t xml:space="preserve">Cloud Infrastructure (AWS/Firebase)</t>
  </si>
  <si>
    <t xml:space="preserve">Semi-Fixed</t>
  </si>
  <si>
    <t xml:space="preserve">EC2 + RDS + S3 + Firebase + Maps API. Phase 1 baseline.</t>
  </si>
  <si>
    <t xml:space="preserve">Google Maps / Location API</t>
  </si>
  <si>
    <t xml:space="preserve">Variable</t>
  </si>
  <si>
    <t xml:space="preserve">~$7/1K requests. Scales with rides.</t>
  </si>
  <si>
    <t xml:space="preserve">SMS / Push Notification Services</t>
  </si>
  <si>
    <t xml:space="preserve">Twilio/local gateway. ~0.015 JOD per SMS × ride notifications</t>
  </si>
  <si>
    <t xml:space="preserve">Customer Support (Outsourced)</t>
  </si>
  <si>
    <t xml:space="preserve">3-4 agents at JD 400/mo. Ticket cost ~JD 1.50</t>
  </si>
  <si>
    <t xml:space="preserve">Driver Onboarding &amp; Verification</t>
  </si>
  <si>
    <t xml:space="preserve">Per Driver</t>
  </si>
  <si>
    <t xml:space="preserve">Background check, doc verification, vehicle inspection</t>
  </si>
  <si>
    <t xml:space="preserve">Marketing &amp; Driver Acquisition (CAC)</t>
  </si>
  <si>
    <t xml:space="preserve">Per New Driver</t>
  </si>
  <si>
    <t xml:space="preserve">Referral bonus JD 18 + digital ads JD 12. Higher spend to fuel 30% MoM growth.</t>
  </si>
  <si>
    <t xml:space="preserve">Rider Acquisition &amp; Promos</t>
  </si>
  <si>
    <t xml:space="preserve">Fixed</t>
  </si>
  <si>
    <t xml:space="preserve">First-ride promos, social media, influencer partnerships. Higher spend to build rider demand matching driver supply.</t>
  </si>
  <si>
    <t xml:space="preserve">OPEX VARIANCE BANDS</t>
  </si>
  <si>
    <t xml:space="preserve">Period</t>
  </si>
  <si>
    <t xml:space="preserve">Variance</t>
  </si>
  <si>
    <t xml:space="preserve">Month 1 (Launch)</t>
  </si>
  <si>
    <t xml:space="preserve">Baseline — no variance</t>
  </si>
  <si>
    <t xml:space="preserve">Months 2–4 (Early Ops)</t>
  </si>
  <si>
    <t xml:space="preserve">+20% above baseline for startup friction</t>
  </si>
  <si>
    <t xml:space="preserve">Months 5–12 (Stabilizing)</t>
  </si>
  <si>
    <t xml:space="preserve">+10% as operations mature</t>
  </si>
  <si>
    <t xml:space="preserve">TEAM &amp; OVERHEAD (FIXED MONTHLY)</t>
  </si>
  <si>
    <t xml:space="preserve">Role / Item</t>
  </si>
  <si>
    <t xml:space="preserve">Headcount</t>
  </si>
  <si>
    <t xml:space="preserve">CEO / Founder</t>
  </si>
  <si>
    <t xml:space="preserve">Below-market startup salary</t>
  </si>
  <si>
    <t xml:space="preserve">CTO / Lead Engineer</t>
  </si>
  <si>
    <t xml:space="preserve">Full-stack + mobile; equity-compensated</t>
  </si>
  <si>
    <t xml:space="preserve">Operations Manager</t>
  </si>
  <si>
    <t xml:space="preserve">Driver relations, onboarding, QA</t>
  </si>
  <si>
    <t xml:space="preserve">Marketing / Growth Lead</t>
  </si>
  <si>
    <t xml:space="preserve">Digital marketing, partnerships</t>
  </si>
  <si>
    <t xml:space="preserve">Finance / Compliance</t>
  </si>
  <si>
    <t xml:space="preserve">Part-time; regulatory filings, bookkeeping</t>
  </si>
  <si>
    <t xml:space="preserve">Office / Co-working Space</t>
  </si>
  <si>
    <t xml:space="preserve">Shared workspace in Amman (e.g., Zain Innovation Campus)</t>
  </si>
  <si>
    <t xml:space="preserve">Legal &amp; Accounting (Retainer)</t>
  </si>
  <si>
    <t xml:space="preserve">Monthly retainer for legal counsel + audit prep</t>
  </si>
  <si>
    <t xml:space="preserve">Miscellaneous / Contingency</t>
  </si>
  <si>
    <t xml:space="preserve">Travel, supplies, unforeseen</t>
  </si>
  <si>
    <t xml:space="preserve">TOTAL TEAM &amp; OVERHEAD</t>
  </si>
  <si>
    <t xml:space="preserve">Minimum viable team for Phase 1</t>
  </si>
  <si>
    <t xml:space="preserve">REGULATORY &amp; LICENSING</t>
  </si>
  <si>
    <t xml:space="preserve">Annual Cost (JOD)</t>
  </si>
  <si>
    <t xml:space="preserve">Monthly Equiv. (JOD)</t>
  </si>
  <si>
    <t xml:space="preserve">LTRC Platform License Fee</t>
  </si>
  <si>
    <t xml:space="preserve">JD 100K/year for up to 3,000 cars. LTRC discussing reduction.</t>
  </si>
  <si>
    <t xml:space="preserve">Per-Vehicle Registration Fee</t>
  </si>
  <si>
    <t xml:space="preserve">Per car/yr</t>
  </si>
  <si>
    <t xml:space="preserve">JD 70 per additional car above 3,000. Negligible at Phase 1.</t>
  </si>
  <si>
    <t xml:space="preserve">Driver Permit Fee (passed to driver)</t>
  </si>
  <si>
    <t xml:space="preserve">Per driver/yr</t>
  </si>
  <si>
    <t xml:space="preserve">Drivers demand reduction from JD 400 to JD 200. Platform may subsidize.</t>
  </si>
  <si>
    <t xml:space="preserve">Bank Guarantee (Deposit)</t>
  </si>
  <si>
    <t xml:space="preserve">Required deposit with LTRC. One-time but ties up capital.</t>
  </si>
  <si>
    <t xml:space="preserve">Company Registration &amp; Legal Setup</t>
  </si>
  <si>
    <t xml:space="preserve">Transport objective in articles, min share capital, legal fees.</t>
  </si>
  <si>
    <t xml:space="preserve">Annual Compliance &amp; Audit</t>
  </si>
  <si>
    <t xml:space="preserve">Annual audit, regulatory filings, data reporting to LTRC.</t>
  </si>
  <si>
    <t xml:space="preserve">TOTAL ANNUAL REGULATORY</t>
  </si>
  <si>
    <t xml:space="preserve">Excludes one-time setup &amp; per-driver permits</t>
  </si>
  <si>
    <t xml:space="preserve">PRE-LAUNCH CAPITAL REQUIRED</t>
  </si>
  <si>
    <t xml:space="preserve">Amount (JOD)</t>
  </si>
  <si>
    <t xml:space="preserve">Amount (USD)</t>
  </si>
  <si>
    <t xml:space="preserve">App Development (MVP)</t>
  </si>
  <si>
    <t xml:space="preserve">Rider app + Driver app + Admin panel. 3-4 month build.</t>
  </si>
  <si>
    <t xml:space="preserve">LTRC License Fee (Year 1)</t>
  </si>
  <si>
    <t xml:space="preserve">Paid upfront before operations begin</t>
  </si>
  <si>
    <t xml:space="preserve">Refundable deposit; ties up working capital</t>
  </si>
  <si>
    <t xml:space="preserve">Company Registration &amp; Legal</t>
  </si>
  <si>
    <t xml:space="preserve">One-time incorporation + regulatory setup</t>
  </si>
  <si>
    <t xml:space="preserve">Initial Marketing &amp; Launch Campaign</t>
  </si>
  <si>
    <t xml:space="preserve">Pre-launch brand awareness, driver recruitment blitz</t>
  </si>
  <si>
    <t xml:space="preserve">Working Capital Buffer (3 months OPEX)</t>
  </si>
  <si>
    <t xml:space="preserve">Covers 3 months of operating expenses before revenue stabilizes</t>
  </si>
  <si>
    <t xml:space="preserve">TOTAL PRE-LAUNCH CAPITAL REQUIRED</t>
  </si>
  <si>
    <t xml:space="preserve">Seed round / founder capital target</t>
  </si>
  <si>
    <t xml:space="preserve">Total, 740,000 JOD 14 Month runway</t>
  </si>
  <si>
    <t xml:space="preserve">REGULATORY CAPITAL RESERVE</t>
  </si>
  <si>
    <t xml:space="preserve">Locked Capital (License + Guarantee)</t>
  </si>
  <si>
    <t xml:space="preserve">License fee + bank guarantee; tied up year 1</t>
  </si>
  <si>
    <t xml:space="preserve">Buffer (30%)</t>
  </si>
  <si>
    <t xml:space="preserve">Safety margin for unexpected regulatory costs</t>
  </si>
  <si>
    <t xml:space="preserve">Total Regulatory Capital Reserve</t>
  </si>
  <si>
    <t xml:space="preserve">Capital locked for regulatory compliance</t>
  </si>
  <si>
    <t xml:space="preserve">Est. Payback Period</t>
  </si>
  <si>
    <t xml:space="preserve">12–18 months</t>
  </si>
  <si>
    <t xml:space="preserve">Target payback from subscription revenue</t>
  </si>
  <si>
    <t xml:space="preserve">TIERED SUBSCRIPTION PLANS — DETAILED BREAKDOWN</t>
  </si>
  <si>
    <t xml:space="preserve">Driver Subscription Tiers — Value Proposition &amp; Feature Matrix (3 Tiers, Soft-Cap Model)</t>
  </si>
  <si>
    <t xml:space="preserve">PLAN OVERVIEW</t>
  </si>
  <si>
    <t xml:space="preserve">Feature / Metric</t>
  </si>
  <si>
    <t xml:space="preserve">🟢 STARTER</t>
  </si>
  <si>
    <t xml:space="preserve">🔵 CORE</t>
  </si>
  <si>
    <t xml:space="preserve">🟡 PRO</t>
  </si>
  <si>
    <t xml:space="preserve">Monthly Subscription Fee (JOD)</t>
  </si>
  <si>
    <t xml:space="preserve">Driver keeps 100% of fare revenue</t>
  </si>
  <si>
    <t xml:space="preserve">Monthly Fee (USD Equiv.)</t>
  </si>
  <si>
    <t xml:space="preserve">At JOD/USD peg of 1.41</t>
  </si>
  <si>
    <t xml:space="preserve">Target Driver Profile</t>
  </si>
  <si>
    <t xml:space="preserve">Part-time / new drivers</t>
  </si>
  <si>
    <t xml:space="preserve">Full-time daily drivers</t>
  </si>
  <si>
    <t xml:space="preserve">High-volume professionals</t>
  </si>
  <si>
    <t xml:space="preserve">Self-selection by earning level</t>
  </si>
  <si>
    <t xml:space="preserve">Expected Driver Mix</t>
  </si>
  <si>
    <t xml:space="preserve">Phase 1 assumption; shifts as platform matures</t>
  </si>
  <si>
    <t xml:space="preserve">Priority reduction above cap, not hard block</t>
  </si>
  <si>
    <t xml:space="preserve">Est. Monthly Gross Fare Revenue (JOD)</t>
  </si>
  <si>
    <t xml:space="preserve">100% retained by driver</t>
  </si>
  <si>
    <t xml:space="preserve">Subscription as % of Gross Revenue</t>
  </si>
  <si>
    <t xml:space="preserve">vs. Uber/Careem 30% commission — massive driver savings</t>
  </si>
  <si>
    <t xml:space="preserve">SOFT-CAP DISPATCH MECHANICS</t>
  </si>
  <si>
    <t xml:space="preserve">Soft-Cap (trips/day)</t>
  </si>
  <si>
    <t xml:space="preserve">Below Cap</t>
  </si>
  <si>
    <t xml:space="preserve">Above Cap</t>
  </si>
  <si>
    <t xml:space="preserve">Design Rationale</t>
  </si>
  <si>
    <t xml:space="preserve">Normal dispatch priority</t>
  </si>
  <si>
    <t xml:space="preserve">Reduced priority; longer wait for requests</t>
  </si>
  <si>
    <t xml:space="preserve">Encourages upgrade to Core for high-activity drivers</t>
  </si>
  <si>
    <t xml:space="preserve">Priority dispatch</t>
  </si>
  <si>
    <t xml:space="preserve">Drops to standard priority</t>
  </si>
  <si>
    <t xml:space="preserve">Sweet spot for full-time drivers; upsell path to Pro</t>
  </si>
  <si>
    <t xml:space="preserve">Top priority + VIP access</t>
  </si>
  <si>
    <t xml:space="preserve">Drops to priority (Core-level)</t>
  </si>
  <si>
    <t xml:space="preserve">Highest earners; rarely hit cap at 12 trips/day</t>
  </si>
  <si>
    <t xml:space="preserve">FEATURE MATRIX</t>
  </si>
  <si>
    <t xml:space="preserve">Feature</t>
  </si>
  <si>
    <t xml:space="preserve">Impact</t>
  </si>
  <si>
    <t xml:space="preserve">DISPATCH &amp; RIDE ACCESS</t>
  </si>
  <si>
    <t xml:space="preserve">  Standard ride queue</t>
  </si>
  <si>
    <t xml:space="preserve">✓</t>
  </si>
  <si>
    <t xml:space="preserve">All tiers get ride requests</t>
  </si>
  <si>
    <t xml:space="preserve">  Priority dispatch algorithm</t>
  </si>
  <si>
    <t xml:space="preserve">✓✓</t>
  </si>
  <si>
    <t xml:space="preserve">Higher tier = first in queue for nearby rides</t>
  </si>
  <si>
    <t xml:space="preserve">  Premium / VIP ride access</t>
  </si>
  <si>
    <t xml:space="preserve">Airport runs, corporate accounts, higher-fare rides</t>
  </si>
  <si>
    <t xml:space="preserve">  Airport &amp; hotel queue access</t>
  </si>
  <si>
    <t xml:space="preserve">Exclusive high-value pickup zones</t>
  </si>
  <si>
    <t xml:space="preserve">SUPPORT &amp; ACCOUNT MANAGEMENT</t>
  </si>
  <si>
    <t xml:space="preserve">  In-app chat support</t>
  </si>
  <si>
    <t xml:space="preserve">Standard response time</t>
  </si>
  <si>
    <t xml:space="preserve">  Dedicated phone support line</t>
  </si>
  <si>
    <t xml:space="preserve">Priority resolution for Core+</t>
  </si>
  <si>
    <t xml:space="preserve">INSURANCE &amp; PROTECTION</t>
  </si>
  <si>
    <t xml:space="preserve">  Third-party liability (platform policy)</t>
  </si>
  <si>
    <t xml:space="preserve">Mandatory: JD 20K min/accident (Jordan regulation)</t>
  </si>
  <si>
    <t xml:space="preserve">  Roadside assistance (24/7)</t>
  </si>
  <si>
    <t xml:space="preserve">Towing, battery, tire service via partner</t>
  </si>
  <si>
    <t xml:space="preserve">  Comprehensive top-up insurance (50% subsidy)</t>
  </si>
  <si>
    <t xml:space="preserve">Collision + theft; platform pays half the premium</t>
  </si>
  <si>
    <t xml:space="preserve">MAINTENANCE &amp; VEHICLE CARE</t>
  </si>
  <si>
    <t xml:space="preserve">  Partner garage network (15-25% discount)</t>
  </si>
  <si>
    <t xml:space="preserve">Oil change, brakes, tires at negotiated rates</t>
  </si>
  <si>
    <t xml:space="preserve">  Free annual vehicle inspection</t>
  </si>
  <si>
    <t xml:space="preserve">Compliance + safety check at no cost</t>
  </si>
  <si>
    <t xml:space="preserve">INSURANCE PROGRAM — DETAILED STRUCTURE</t>
  </si>
  <si>
    <t xml:space="preserve">Coverage Type</t>
  </si>
  <si>
    <t xml:space="preserve">Coverage Amount</t>
  </si>
  <si>
    <t xml:space="preserve">Platform Cost / Driver / Mo</t>
  </si>
  <si>
    <t xml:space="preserve">Driver Pays</t>
  </si>
  <si>
    <t xml:space="preserve">Mandatory Third-Party Liability</t>
  </si>
  <si>
    <t xml:space="preserve">JD 20,000 min per accident</t>
  </si>
  <si>
    <t xml:space="preserve">JD 5.00</t>
  </si>
  <si>
    <t xml:space="preserve">JD 0 (included)</t>
  </si>
  <si>
    <t xml:space="preserve">Comprehensive Vehicle (Top-Up)</t>
  </si>
  <si>
    <t xml:space="preserve">Collision, theft, fire, natural disaster</t>
  </si>
  <si>
    <t xml:space="preserve">JD 8.00</t>
  </si>
  <si>
    <t xml:space="preserve">JD 8.00 (co-pay)</t>
  </si>
  <si>
    <t xml:space="preserve">Roadside Assistance</t>
  </si>
  <si>
    <t xml:space="preserve">24/7 towing, flat tire, battery, lockout</t>
  </si>
  <si>
    <t xml:space="preserve">JD 3.00</t>
  </si>
  <si>
    <t xml:space="preserve">WHY THIS WORKS FOR INVESTORS:</t>
  </si>
  <si>
    <t xml:space="preserve">• Bulk purchasing power: Group policies cost 40-60% less than individual driver policies</t>
  </si>
  <si>
    <t xml:space="preserve">• Retention driver: Insurance benefits create switching costs — drivers lose coverage if they leave</t>
  </si>
  <si>
    <t xml:space="preserve">• Regulatory compliance: Mandatory liability baked into platform cost, not optional</t>
  </si>
  <si>
    <t xml:space="preserve">• Upsell path: Starter drivers see insurance value in Core/Pro and upgrade over time</t>
  </si>
  <si>
    <t xml:space="preserve">• Revenue protection: Lower churn from insurance lock-in improves LTV and payback period</t>
  </si>
  <si>
    <t xml:space="preserve">COMPETITIVE POSITIONING vs. UBER/CAREEM IN AMMAN</t>
  </si>
  <si>
    <t xml:space="preserve">Uber/Careem (Amman)</t>
  </si>
  <si>
    <t xml:space="preserve">Wasel (Blended)</t>
  </si>
  <si>
    <t xml:space="preserve">Driver Advantage</t>
  </si>
  <si>
    <t xml:space="preserve">Commission / Fee Model</t>
  </si>
  <si>
    <t xml:space="preserve">30% per ride</t>
  </si>
  <si>
    <t xml:space="preserve">Flat monthly fee</t>
  </si>
  <si>
    <t xml:space="preserve">Predictable cost</t>
  </si>
  <si>
    <t xml:space="preserve">Driver keeps (% of fare)</t>
  </si>
  <si>
    <t xml:space="preserve">+30% more per ride</t>
  </si>
  <si>
    <t xml:space="preserve">Effective cost on JD 585/mo revenue (Core)</t>
  </si>
  <si>
    <t xml:space="preserve">Insurance included?</t>
  </si>
  <si>
    <t xml:space="preserve">Yes (all tiers)</t>
  </si>
  <si>
    <t xml:space="preserve">Added value</t>
  </si>
  <si>
    <t xml:space="preserve">Maintenance benefits?</t>
  </si>
  <si>
    <t xml:space="preserve">Pro tier</t>
  </si>
  <si>
    <t xml:space="preserve">Cost savings for driver</t>
  </si>
  <si>
    <t xml:space="preserve">Cash payment support?</t>
  </si>
  <si>
    <t xml:space="preserve">Limited</t>
  </si>
  <si>
    <t xml:space="preserve">Full (65% cash)</t>
  </si>
  <si>
    <t xml:space="preserve">Fits Jordan market</t>
  </si>
  <si>
    <t xml:space="preserve">Switching cost for driver</t>
  </si>
  <si>
    <t xml:space="preserve">Insurance + benefits</t>
  </si>
  <si>
    <t xml:space="preserve">Higher retention</t>
  </si>
  <si>
    <t xml:space="preserve">WASEL — 12-MONTH PROJECTED P&amp;L</t>
  </si>
  <si>
    <t xml:space="preserve">All figures in Jordanian Dinars (JOD)  |  Cohort-based driver model with graduated onboarding</t>
  </si>
  <si>
    <t xml:space="preserve">Month 2</t>
  </si>
  <si>
    <t xml:space="preserve">Month 3</t>
  </si>
  <si>
    <t xml:space="preserve">Month 4</t>
  </si>
  <si>
    <t xml:space="preserve">Month 5</t>
  </si>
  <si>
    <t xml:space="preserve">Month 7</t>
  </si>
  <si>
    <t xml:space="preserve">Month 8</t>
  </si>
  <si>
    <t xml:space="preserve">Month 10</t>
  </si>
  <si>
    <t xml:space="preserve">Month 11</t>
  </si>
  <si>
    <t xml:space="preserve">YEAR 1 TOTAL</t>
  </si>
  <si>
    <t xml:space="preserve">DRIVER METRICS (COHORT-BASED)</t>
  </si>
  <si>
    <t xml:space="preserve">New Drivers Added</t>
  </si>
  <si>
    <t xml:space="preserve">Calc</t>
  </si>
  <si>
    <t xml:space="preserve">M0 Drivers (Trial — JD 0 fee)</t>
  </si>
  <si>
    <t xml:space="preserve">Cohort</t>
  </si>
  <si>
    <t xml:space="preserve">M1 Drivers (Ramp — JD 10 fee)</t>
  </si>
  <si>
    <t xml:space="preserve">M2+ Drivers (Active — tier pricing)</t>
  </si>
  <si>
    <t xml:space="preserve">Churned Drivers</t>
  </si>
  <si>
    <t xml:space="preserve">Total Active Drivers (EoM)</t>
  </si>
  <si>
    <t xml:space="preserve">Sum</t>
  </si>
  <si>
    <t xml:space="preserve">Total Rides (month)</t>
  </si>
  <si>
    <t xml:space="preserve">Gross Ride GMV (platform volume)</t>
  </si>
  <si>
    <t xml:space="preserve">REVENUE</t>
  </si>
  <si>
    <t xml:space="preserve">  M0 Revenue (Trial — JD 0)</t>
  </si>
  <si>
    <t xml:space="preserve">  M1 Revenue (Ramp — JD 10)</t>
  </si>
  <si>
    <t xml:space="preserve">  M2+ Starter Tier Subscriptions</t>
  </si>
  <si>
    <t xml:space="preserve">  M2+ Core Tier Subscriptions</t>
  </si>
  <si>
    <t xml:space="preserve">  M2+ Pro Tier Subscriptions</t>
  </si>
  <si>
    <t xml:space="preserve">Total Subscription Revenue</t>
  </si>
  <si>
    <t xml:space="preserve">TOTAL REVENUE</t>
  </si>
  <si>
    <t xml:space="preserve">COST OF REVENUE (VARIABLE)</t>
  </si>
  <si>
    <t xml:space="preserve">  Payment Processing Fees (Digital Subs)</t>
  </si>
  <si>
    <t xml:space="preserve">  Insurance Program Costs</t>
  </si>
  <si>
    <t xml:space="preserve">  Cloud Infrastructure (AWS/Firebase)</t>
  </si>
  <si>
    <t xml:space="preserve">Semi-Fix</t>
  </si>
  <si>
    <t xml:space="preserve">  Maps &amp; Location API</t>
  </si>
  <si>
    <t xml:space="preserve">  SMS / Push Notifications</t>
  </si>
  <si>
    <t xml:space="preserve">  Driver Onboarding &amp; Verification</t>
  </si>
  <si>
    <t xml:space="preserve">Per New</t>
  </si>
  <si>
    <t xml:space="preserve">Total Cost of Revenue</t>
  </si>
  <si>
    <t xml:space="preserve">GROSS PROFIT</t>
  </si>
  <si>
    <t xml:space="preserve">Gross Margin %</t>
  </si>
  <si>
    <t xml:space="preserve">OPERATING EXPENSES (OPEX)</t>
  </si>
  <si>
    <t xml:space="preserve">  Team &amp; Overhead (Salaries + Office)</t>
  </si>
  <si>
    <t xml:space="preserve">  Customer Support</t>
  </si>
  <si>
    <t xml:space="preserve">  Marketing — Driver Acquisition</t>
  </si>
  <si>
    <t xml:space="preserve">  Rider Acquisition &amp; Promos</t>
  </si>
  <si>
    <t xml:space="preserve">  Regulatory &amp; LTRC License Fee</t>
  </si>
  <si>
    <t xml:space="preserve">  Legal &amp; Accounting</t>
  </si>
  <si>
    <t xml:space="preserve">  OPEX Variance Adjustment</t>
  </si>
  <si>
    <t xml:space="preserve">Adj</t>
  </si>
  <si>
    <t xml:space="preserve">Total Operating Expenses</t>
  </si>
  <si>
    <t xml:space="preserve">EBITDA</t>
  </si>
  <si>
    <t xml:space="preserve">EBITDA Margin %</t>
  </si>
  <si>
    <t xml:space="preserve">  Depreciation &amp; Amortization</t>
  </si>
  <si>
    <t xml:space="preserve">  Interest Expense</t>
  </si>
  <si>
    <t xml:space="preserve">NET INCOME (LOSS)</t>
  </si>
  <si>
    <t xml:space="preserve">Net Margin %</t>
  </si>
  <si>
    <t xml:space="preserve">Cumulative Net Income (Loss)</t>
  </si>
  <si>
    <t xml:space="preserve">UNIT ECONOMICS — PER-DRIVER ANALYSIS</t>
  </si>
  <si>
    <t xml:space="preserve">All figures in Jordanian Dinars (JOD) per driver per month  |  Updated for 3-tier model with transition churn</t>
  </si>
  <si>
    <t xml:space="preserve">DRIVER ECONOMICS (GROSS FARE INCOME)</t>
  </si>
  <si>
    <t xml:space="preserve">Starter</t>
  </si>
  <si>
    <t xml:space="preserve">Core</t>
  </si>
  <si>
    <t xml:space="preserve">Pro</t>
  </si>
  <si>
    <t xml:space="preserve">Blended Avg</t>
  </si>
  <si>
    <t xml:space="preserve">Monthly Gross Fare Revenue (JOD)</t>
  </si>
  <si>
    <t xml:space="preserve">(−) Driver Operating Costs</t>
  </si>
  <si>
    <t xml:space="preserve">Fuel JD 200 + Maint JD 120 + Data JD 30</t>
  </si>
  <si>
    <t xml:space="preserve">(−) Wasel Subscription Fee</t>
  </si>
  <si>
    <t xml:space="preserve">Net Driver Take-Home Income</t>
  </si>
  <si>
    <t xml:space="preserve">Net Income as % of Gross Fare</t>
  </si>
  <si>
    <t xml:space="preserve">vs. 70% at Uber/Careem</t>
  </si>
  <si>
    <t xml:space="preserve">PLATFORM REVENUE PER DRIVER (M2+ ACTIVE)</t>
  </si>
  <si>
    <t xml:space="preserve">ARPU (Avg Revenue Per Driver)</t>
  </si>
  <si>
    <t xml:space="preserve">PLATFORM COST PER DRIVER</t>
  </si>
  <si>
    <t xml:space="preserve">  Payment Processing (digital subs)</t>
  </si>
  <si>
    <t xml:space="preserve">  Insurance — Third-Party Liability</t>
  </si>
  <si>
    <t xml:space="preserve">All tiers</t>
  </si>
  <si>
    <t xml:space="preserve">  Insurance — Comprehensive Subsidy</t>
  </si>
  <si>
    <t xml:space="preserve">Pro only</t>
  </si>
  <si>
    <t xml:space="preserve">  Roadside Assistance</t>
  </si>
  <si>
    <t xml:space="preserve">  Maintenance Network Subsidy</t>
  </si>
  <si>
    <t xml:space="preserve">  Cloud &amp; Tech Infrastructure (allocated)</t>
  </si>
  <si>
    <t xml:space="preserve">Baseline allocated equally</t>
  </si>
  <si>
    <t xml:space="preserve">Total Variable Cost per Driver</t>
  </si>
  <si>
    <t xml:space="preserve">CONTRIBUTION MARGIN</t>
  </si>
  <si>
    <t xml:space="preserve">Subscription Revenue</t>
  </si>
  <si>
    <t xml:space="preserve">(−) Total Variable Cost</t>
  </si>
  <si>
    <t xml:space="preserve">Contribution Margin (JOD)</t>
  </si>
  <si>
    <t xml:space="preserve">Contribution Margin %</t>
  </si>
  <si>
    <t xml:space="preserve">DRIVER LIFETIME VALUE (LTV) — TRANSITION CHURN MODEL</t>
  </si>
  <si>
    <t xml:space="preserve">Survival Rate: M0 → M1</t>
  </si>
  <si>
    <t xml:space="preserve">75% survive first payment wall (improved onboarding)</t>
  </si>
  <si>
    <t xml:space="preserve">Survival Rate: M1 → M2</t>
  </si>
  <si>
    <t xml:space="preserve">88% survive full-price transition</t>
  </si>
  <si>
    <t xml:space="preserve">Monthly Churn (M2–M6)</t>
  </si>
  <si>
    <t xml:space="preserve">%/month</t>
  </si>
  <si>
    <t xml:space="preserve">4% monthly churn in early active phase</t>
  </si>
  <si>
    <t xml:space="preserve">Monthly Churn (M6+)</t>
  </si>
  <si>
    <t xml:space="preserve">2% monthly; strong retention with insurance lock-in</t>
  </si>
  <si>
    <t xml:space="preserve">Effective Avg Lifespan (months)</t>
  </si>
  <si>
    <t xml:space="preserve">months</t>
  </si>
  <si>
    <t xml:space="preserve">Weighted avg: M0 trial + M1 ramp + M2+ active lifespan</t>
  </si>
  <si>
    <t xml:space="preserve">Blended Contribution Margin / Mo</t>
  </si>
  <si>
    <t xml:space="preserve">Weighted average across all tiers (M2+ active)</t>
  </si>
  <si>
    <t xml:space="preserve">Driver LTV (JOD)</t>
  </si>
  <si>
    <t xml:space="preserve">Contribution Margin × Avg Lifespan</t>
  </si>
  <si>
    <t xml:space="preserve">Driver LTV (USD)</t>
  </si>
  <si>
    <t xml:space="preserve">USD</t>
  </si>
  <si>
    <t xml:space="preserve">CAC &amp; PAYBACK ANALYSIS</t>
  </si>
  <si>
    <t xml:space="preserve">Driver Acquisition Cost (CAC)</t>
  </si>
  <si>
    <t xml:space="preserve">Referral bonus JD 15 + digital ads JD 10</t>
  </si>
  <si>
    <t xml:space="preserve">Driver Onboarding Cost</t>
  </si>
  <si>
    <t xml:space="preserve">Background check, doc verify, vehicle inspect</t>
  </si>
  <si>
    <t xml:space="preserve">Total CAC (Fully Loaded)</t>
  </si>
  <si>
    <t xml:space="preserve">CAC + onboarding per new driver</t>
  </si>
  <si>
    <t xml:space="preserve">LTV / CAC Ratio</t>
  </si>
  <si>
    <t xml:space="preserve">x</t>
  </si>
  <si>
    <t xml:space="preserve">Target: &gt;3.0x for healthy unit economics</t>
  </si>
  <si>
    <t xml:space="preserve">CAC Payback Period</t>
  </si>
  <si>
    <t xml:space="preserve">Months to recover acquisition cost</t>
  </si>
  <si>
    <t xml:space="preserve">INVESTOR SCORECARD</t>
  </si>
  <si>
    <t xml:space="preserve">KPI</t>
  </si>
  <si>
    <t xml:space="preserve">Benchmark</t>
  </si>
  <si>
    <t xml:space="preserve">Assessment</t>
  </si>
  <si>
    <t xml:space="preserve">&gt; 3.0x</t>
  </si>
  <si>
    <t xml:space="preserve">EXCELLENT</t>
  </si>
  <si>
    <t xml:space="preserve">&lt; 6 months</t>
  </si>
  <si>
    <t xml:space="preserve">STRONG</t>
  </si>
  <si>
    <t xml:space="preserve">&gt; 50%</t>
  </si>
  <si>
    <t xml:space="preserve">WASEL — 12-MONTH CASH FLOW STATEMENT</t>
  </si>
  <si>
    <t xml:space="preserve">All figures in Jordanian Dinars (JOD)  |  Tracks actual cash in/out including pre-launch capital</t>
  </si>
  <si>
    <t xml:space="preserve">Pre-Launch</t>
  </si>
  <si>
    <t xml:space="preserve">TOTAL</t>
  </si>
  <si>
    <t xml:space="preserve">CASH INFLOWS</t>
  </si>
  <si>
    <t xml:space="preserve">  Seed Capital / Founder Investment</t>
  </si>
  <si>
    <t xml:space="preserve">  Subscription Revenue (Cash)</t>
  </si>
  <si>
    <t xml:space="preserve">Total Cash Inflows</t>
  </si>
  <si>
    <t xml:space="preserve">CASH OUTFLOWS</t>
  </si>
  <si>
    <t xml:space="preserve">  App Development (MVP)</t>
  </si>
  <si>
    <t xml:space="preserve">  LTRC License Fee (Upfront)</t>
  </si>
  <si>
    <t xml:space="preserve">  Bank Guarantee Deposit</t>
  </si>
  <si>
    <t xml:space="preserve">  Company Registration &amp; Legal</t>
  </si>
  <si>
    <t xml:space="preserve">  Pre-Launch Marketing</t>
  </si>
  <si>
    <t xml:space="preserve">  Cost of Revenue (Variable)</t>
  </si>
  <si>
    <t xml:space="preserve">  Operating Expenses (Fixed + Semi)</t>
  </si>
  <si>
    <t xml:space="preserve">Total Cash Outflows</t>
  </si>
  <si>
    <t xml:space="preserve">NET CASH FLOW</t>
  </si>
  <si>
    <t xml:space="preserve">Opening Cash Balance</t>
  </si>
  <si>
    <t xml:space="preserve">Net Cash Flow</t>
  </si>
  <si>
    <t xml:space="preserve">CLOSING CASH BALANCE</t>
  </si>
  <si>
    <t xml:space="preserve">CASH RUNWAY ANALYSIS</t>
  </si>
  <si>
    <t xml:space="preserve">Monthly Cash Burn / Generation</t>
  </si>
  <si>
    <t xml:space="preserve">Cumulative Cash Burn</t>
  </si>
  <si>
    <t xml:space="preserve">Months of Runway Remaining</t>
  </si>
  <si>
    <t xml:space="preserve">KEY CASH METRICS</t>
  </si>
  <si>
    <t xml:space="preserve">Pre-Launch Capital</t>
  </si>
  <si>
    <t xml:space="preserve">Year 1 Total Revenue (Cash In)</t>
  </si>
  <si>
    <t xml:space="preserve">Year 1 Closing Cash Balance</t>
  </si>
  <si>
    <t xml:space="preserve">Year 1 Total Outflows</t>
  </si>
  <si>
    <t xml:space="preserve">Peak Monthly Burn</t>
  </si>
  <si>
    <t xml:space="preserve">Avg Monthly Burn (M1-M12)</t>
  </si>
  <si>
    <t xml:space="preserve">Additional Funding Required</t>
  </si>
  <si>
    <t xml:space="preserve">Recommended Raise (Burn + 30% Buffer)</t>
  </si>
  <si>
    <t xml:space="preserve">Recommended Raise (USD)</t>
  </si>
  <si>
    <t xml:space="preserve">Runway After Raise (months)</t>
  </si>
  <si>
    <t xml:space="preserve">5-YEAR CASH FLOW PROJECTION</t>
  </si>
  <si>
    <t xml:space="preserve">All figures in Jordanian Dinars (JOD)  |  Year 1 from Monthly P&amp;L, Years 2-5 from Multi-Year Projections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</si>
  <si>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</si>
  <si>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</si>
  <si>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</si>
  <si>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</si>
  <si>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</si>
  <si>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5-Yr Total</t>
  </si>
  <si>
    <t xml:space="preserve">  Seed Capital / Investment</t>
  </si>
  <si>
    <t xml:space="preserve">  Subscription Revenue</t>
  </si>
  <si>
    <t xml:space="preserve">  Ancillary Revenue</t>
  </si>
  <si>
    <t xml:space="preserve">  Pre-Launch CapEx</t>
  </si>
  <si>
    <t xml:space="preserve">  Cost of Revenue</t>
  </si>
  <si>
    <t xml:space="preserve">  Operating Expenses</t>
  </si>
  <si>
    <t xml:space="preserve">Free Cash Flow (EBITDA - CapEx)</t>
  </si>
  <si>
    <t xml:space="preserve">FCF Margin %</t>
  </si>
  <si>
    <t xml:space="preserve">Cash Positive Year</t>
  </si>
  <si>
    <t xml:space="preserve">WASEL — STRESS TESTS &amp; SENSITIVITY ANALYSIS</t>
  </si>
  <si>
    <t xml:space="preserve">Impact analysis on Year 1 financials under adverse scenarios  |  Updated for 3-tier cohort model</t>
  </si>
  <si>
    <t xml:space="preserve">SCENARIO 1: TRANSITION CHURN SENSITIVITY</t>
  </si>
  <si>
    <t xml:space="preserve">Base Case</t>
  </si>
  <si>
    <t xml:space="preserve">M0→50% churn</t>
  </si>
  <si>
    <t xml:space="preserve">M0→50%, M2+ 10%</t>
  </si>
  <si>
    <t xml:space="preserve">All churn 2x</t>
  </si>
  <si>
    <t xml:space="preserve">M0→M1 Churn</t>
  </si>
  <si>
    <t xml:space="preserve">First payment wall is #1 risk</t>
  </si>
  <si>
    <t xml:space="preserve">M2+ Ongoing Churn</t>
  </si>
  <si>
    <t xml:space="preserve">Higher ongoing attrition</t>
  </si>
  <si>
    <t xml:space="preserve">Est. EoY Active Drivers</t>
  </si>
  <si>
    <t xml:space="preserve">Churn is the #1 risk to the model</t>
  </si>
  <si>
    <t xml:space="preserve">Planned</t>
  </si>
  <si>
    <t xml:space="preserve">Manageable</t>
  </si>
  <si>
    <t xml:space="preserve">Concerning</t>
  </si>
  <si>
    <t xml:space="preserve">Critical</t>
  </si>
  <si>
    <t xml:space="preserve">Low pricing mitigates churn pressure</t>
  </si>
  <si>
    <t xml:space="preserve">SCENARIO 2: COMBINED DOWNSIDE STRESS TEST</t>
  </si>
  <si>
    <t xml:space="preserve">Stress Factor</t>
  </si>
  <si>
    <t xml:space="preserve">Downside</t>
  </si>
  <si>
    <t xml:space="preserve">M0→M1 retention</t>
  </si>
  <si>
    <t xml:space="preserve">75% survive</t>
  </si>
  <si>
    <t xml:space="preserve">50% survive</t>
  </si>
  <si>
    <t xml:space="preserve">~30% fewer drivers reach full pricing</t>
  </si>
  <si>
    <t xml:space="preserve">M2+ ongoing churn</t>
  </si>
  <si>
    <t xml:space="preserve">4%/mo</t>
  </si>
  <si>
    <t xml:space="preserve">10%/mo</t>
  </si>
  <si>
    <t xml:space="preserve">Active driver pool shrinks faster</t>
  </si>
  <si>
    <t xml:space="preserve">Mandatory insurance increase</t>
  </si>
  <si>
    <t xml:space="preserve">JD 8.65/driver/mo</t>
  </si>
  <si>
    <t xml:space="preserve">JD 20/driver/mo</t>
  </si>
  <si>
    <t xml:space="preserve">~JD 120K additional cost/yr at scale</t>
  </si>
  <si>
    <t xml:space="preserve">Avg trips per driver per day</t>
  </si>
  <si>
    <t xml:space="preserve">Reduces driver income → may increase churn</t>
  </si>
  <si>
    <t xml:space="preserve">Combined Impact</t>
  </si>
  <si>
    <t xml:space="preserve">Base Case (Y1)</t>
  </si>
  <si>
    <t xml:space="preserve">All-Downside (Y1)</t>
  </si>
  <si>
    <t xml:space="preserve">Δ Change</t>
  </si>
  <si>
    <t xml:space="preserve">End-of-Year Active Drivers</t>
  </si>
  <si>
    <t xml:space="preserve">Annual Revenue (JOD)</t>
  </si>
  <si>
    <t xml:space="preserve">Annual Net Income (JOD)</t>
  </si>
  <si>
    <t xml:space="preserve">Losses expected Y1; funded by seed</t>
  </si>
  <si>
    <t xml:space="preserve">CRITICAL: Requires bridge funding</t>
  </si>
  <si>
    <t xml:space="preserve">SCENARIO 3: SUBSCRIPTION FEE SENSITIVITY (BLENDED M2+ FEE)</t>
  </si>
  <si>
    <t xml:space="preserve">JD 22/mo</t>
  </si>
  <si>
    <t xml:space="preserve">JD 27/mo</t>
  </si>
  <si>
    <t xml:space="preserve">JD 32.25 (Base)</t>
  </si>
  <si>
    <t xml:space="preserve">JD 38/mo</t>
  </si>
  <si>
    <t xml:space="preserve">JD 45/mo</t>
  </si>
  <si>
    <t xml:space="preserve">Blended Monthly Fee (JOD)</t>
  </si>
  <si>
    <t xml:space="preserve">Est. Annual Revenue (JOD)</t>
  </si>
  <si>
    <t xml:space="preserve">vs Base Case Revenue</t>
  </si>
  <si>
    <t xml:space="preserve">BASE</t>
  </si>
  <si>
    <t xml:space="preserve">Fee as % of Driver Gross (~JD 520/mo)</t>
  </si>
  <si>
    <t xml:space="preserve">vs 30% at Uber/Careem</t>
  </si>
  <si>
    <t xml:space="preserve">SCENARIO 4: BREAK-EVEN BY ACTIVE M2+ DRIVER COUNT</t>
  </si>
  <si>
    <t xml:space="preserve">Active M2+ Drivers</t>
  </si>
  <si>
    <t xml:space="preserve">Monthly Revenue</t>
  </si>
  <si>
    <t xml:space="preserve">Monthly COGS</t>
  </si>
  <si>
    <t xml:space="preserve">Monthly OPEX</t>
  </si>
  <si>
    <t xml:space="preserve">Monthly P&amp;L</t>
  </si>
  <si>
    <t xml:space="preserve">Status</t>
  </si>
  <si>
    <t xml:space="preserve">❌ Loss</t>
  </si>
  <si>
    <t xml:space="preserve">Break-even requires ~1,200 active M2+ drivers paying full tier pricing (excl. M0/M1 onboarding drivers)</t>
  </si>
  <si>
    <t xml:space="preserve">SCENARIO 5: UNIT ECONOMICS SENSITIVITY (INVESTOR STRESS TEST)</t>
  </si>
  <si>
    <t xml:space="preserve">What happens to LTV/CAC when churn assumptions worsen?</t>
  </si>
  <si>
    <t xml:space="preserve">Mature Churn Rate (M6+)</t>
  </si>
  <si>
    <t xml:space="preserve">Avg Lifespan (Mo)</t>
  </si>
  <si>
    <t xml:space="preserve">LTV (JOD)</t>
  </si>
  <si>
    <t xml:space="preserve">LTV/CAC</t>
  </si>
  <si>
    <t xml:space="preserve">Survives?</t>
  </si>
  <si>
    <t xml:space="preserve">✅ Yes — LTV/CAC &gt;3x</t>
  </si>
  <si>
    <t xml:space="preserve">✅ Base case — strong</t>
  </si>
  <si>
    <t xml:space="preserve">✅ Still healthy (&gt;3x)</t>
  </si>
  <si>
    <t xml:space="preserve">✅ Acceptable</t>
  </si>
  <si>
    <t xml:space="preserve">⚠️ Borderline at 3.7x</t>
  </si>
  <si>
    <t xml:space="preserve">⚠️ Marginal — review spending</t>
  </si>
  <si>
    <t xml:space="preserve">❌ No — LTV/CAC &lt;3x</t>
  </si>
  <si>
    <t xml:space="preserve">❌ Unit economics break down</t>
  </si>
  <si>
    <t xml:space="preserve">Takeaway: Model survives up to ~10% mature churn before LTV/CAC drops below 3x threshold.</t>
  </si>
  <si>
    <t xml:space="preserve">SCENARIO 6: FUNDING GAP &amp; RUNWAY ANALYSIS</t>
  </si>
  <si>
    <t xml:space="preserve">How much capital is really needed, and when does the model require it?</t>
  </si>
  <si>
    <t xml:space="preserve">Pre-Launch Capital (Seed)</t>
  </si>
  <si>
    <t xml:space="preserve">Covers MVP, license, bank guarantee, marketing</t>
  </si>
  <si>
    <t xml:space="preserve">Year 1 Operating Cash Burn</t>
  </si>
  <si>
    <t xml:space="preserve">Revenue ramp cannot cover OPEX + regulatory in Y1</t>
  </si>
  <si>
    <t xml:space="preserve">Total Y1 Capital Required</t>
  </si>
  <si>
    <t xml:space="preserve">Total: pre-launch + operating burn</t>
  </si>
  <si>
    <t xml:space="preserve">Funding Gap (Seed - Required)</t>
  </si>
  <si>
    <t xml:space="preserve">Additional capital needed beyond seed</t>
  </si>
  <si>
    <t xml:space="preserve">Recommended Raise (with 30% buffer)</t>
  </si>
  <si>
    <t xml:space="preserve">Bridge/Series A to reach profitability</t>
  </si>
  <si>
    <t xml:space="preserve">Est. Months of Runway (post-raise)</t>
  </si>
  <si>
    <t xml:space="preserve">Based on peak monthly burn rate</t>
  </si>
  <si>
    <t xml:space="preserve">SCENARIO 7: JORDAN MARKET REALITY CHECK</t>
  </si>
  <si>
    <t xml:space="preserve">Key assumptions benchmarked against Jordan ride-hailing market data</t>
  </si>
  <si>
    <t xml:space="preserve">Assumption</t>
  </si>
  <si>
    <t xml:space="preserve">Model Value</t>
  </si>
  <si>
    <t xml:space="preserve">Jordan Benchmark</t>
  </si>
  <si>
    <t xml:space="preserve">Risk Level</t>
  </si>
  <si>
    <t xml:space="preserve">Investor Note</t>
  </si>
  <si>
    <t xml:space="preserve">JD 2-3 (Amman taxis)</t>
  </si>
  <si>
    <t xml:space="preserve">✅ Low</t>
  </si>
  <si>
    <t xml:space="preserve">Well within observed range</t>
  </si>
  <si>
    <t xml:space="preserve">Driver trips/day</t>
  </si>
  <si>
    <t xml:space="preserve">9 (blended)</t>
  </si>
  <si>
    <t xml:space="preserve">6-10 (Uber/Careem Amman)</t>
  </si>
  <si>
    <t xml:space="preserve">Conservative blended estimate</t>
  </si>
  <si>
    <t xml:space="preserve">Cash payment %</t>
  </si>
  <si>
    <t xml:space="preserve">60-70% (JCB 2024)</t>
  </si>
  <si>
    <t xml:space="preserve">Aligned with Jordan's cash economy</t>
  </si>
  <si>
    <t xml:space="preserve">Monthly driver growth</t>
  </si>
  <si>
    <t xml:space="preserve">30% MoM</t>
  </si>
  <si>
    <t xml:space="preserve">15-25% (MENA startups); 30% justified by validated driver pain point</t>
  </si>
  <si>
    <t xml:space="preserve">✅ Validated</t>
  </si>
  <si>
    <t xml:space="preserve">Driver community validation; solving real social pain (30% commission vs flat fee)</t>
  </si>
  <si>
    <t xml:space="preserve">Mature churn (M6+)</t>
  </si>
  <si>
    <t xml:space="preserve">2%/mo</t>
  </si>
  <si>
    <t xml:space="preserve">3-5% (subscription apps MENA)</t>
  </si>
  <si>
    <t xml:space="preserve">Conservative; insurance lock-in supports retention</t>
  </si>
  <si>
    <t xml:space="preserve">WASEL — 5-YEAR FINANCIAL PROJECTIONS</t>
  </si>
  <si>
    <t xml:space="preserve">All figures in Jordanian Dinars (JOD)  |  USD equivalent at 1 JOD = $1.41  |  Cohort model</t>
  </si>
  <si>
    <t xml:space="preserve">5-Yr CAGR</t>
  </si>
  <si>
    <t xml:space="preserve">GROWTH ASSUMPTIONS</t>
  </si>
  <si>
    <t xml:space="preserve">Annual Net Driver Growth Rate</t>
  </si>
  <si>
    <t xml:space="preserve">Blended Fee Growth (Tier Mix Shift)</t>
  </si>
  <si>
    <t xml:space="preserve">Fixed OPEX Growth Rate</t>
  </si>
  <si>
    <t xml:space="preserve">Cities Operating</t>
  </si>
  <si>
    <t xml:space="preserve">Ancillary Revenue / Driver / Mo (JOD)</t>
  </si>
  <si>
    <t xml:space="preserve">KEY OPERATING METRICS</t>
  </si>
  <si>
    <t xml:space="preserve">Active Drivers (End of Year)</t>
  </si>
  <si>
    <t xml:space="preserve">Avg Active Drivers (Annual)</t>
  </si>
  <si>
    <t xml:space="preserve">Blended Monthly Fee / Driver (JOD)</t>
  </si>
  <si>
    <t xml:space="preserve">Team Headcount</t>
  </si>
  <si>
    <t xml:space="preserve">  Ancillary Revenue (Ads, Data, Partnerships)</t>
  </si>
  <si>
    <t xml:space="preserve">  YoY Revenue Growth</t>
  </si>
  <si>
    <t xml:space="preserve">COST OF REVENUE</t>
  </si>
  <si>
    <t xml:space="preserve">  Payment Processing Fees</t>
  </si>
  <si>
    <t xml:space="preserve">  Cloud &amp; Tech Infrastructure</t>
  </si>
  <si>
    <t xml:space="preserve">OPERATING EXPENSES</t>
  </si>
  <si>
    <t xml:space="preserve">  OPEX Variance Adjustment (Y1 only)</t>
  </si>
  <si>
    <t xml:space="preserve">  EBITDA Margin %</t>
  </si>
  <si>
    <t xml:space="preserve">Depreciation &amp; Amortization</t>
  </si>
  <si>
    <t xml:space="preserve">Interest Expense</t>
  </si>
  <si>
    <t xml:space="preserve">NET INCOME</t>
  </si>
  <si>
    <t xml:space="preserve">  Net Margin %</t>
  </si>
  <si>
    <t xml:space="preserve">Cumulative Net Income</t>
  </si>
  <si>
    <t xml:space="preserve">KEY METRICS &amp; RATIOS</t>
  </si>
  <si>
    <t xml:space="preserve">  Revenue per Driver (Annual)</t>
  </si>
  <si>
    <t xml:space="preserve">  COGS as % of Revenue</t>
  </si>
  <si>
    <t xml:space="preserve">  OPEX as % of Revenue</t>
  </si>
  <si>
    <t xml:space="preserve">  YoY Revenue Growth %</t>
  </si>
  <si>
    <t xml:space="preserve">  Break-Even Year</t>
  </si>
  <si>
    <t xml:space="preserve">  Cumulative Payback Year</t>
  </si>
  <si>
    <t xml:space="preserve">5-YEAR TOTALS</t>
  </si>
  <si>
    <t xml:space="preserve">  Total Revenue (5Y)</t>
  </si>
  <si>
    <t xml:space="preserve">  Total Net Income (5Y)</t>
  </si>
  <si>
    <t xml:space="preserve">  5Y Revenue CAGR</t>
  </si>
  <si>
    <t xml:space="preserve">STRATEGIC GROWTH LEVERS — HOW TO RAISE NUMBERS</t>
  </si>
  <si>
    <t xml:space="preserve">GAP ANALYSIS</t>
  </si>
  <si>
    <t xml:space="preserve">Current Path</t>
  </si>
  <si>
    <t xml:space="preserve">Target</t>
  </si>
  <si>
    <t xml:space="preserve">Gap</t>
  </si>
  <si>
    <t xml:space="preserve">Solution</t>
  </si>
  <si>
    <t xml:space="preserve">  Year 5 Active Drivers</t>
  </si>
  <si>
    <t xml:space="preserve">Jordan multi-city Y1 + Iraq/Egypt Y2-Y3 expansion</t>
  </si>
  <si>
    <t xml:space="preserve">  Year 1 Revenue</t>
  </si>
  <si>
    <t xml:space="preserve">Faster onboarding: 2-week M0 + referral incentives</t>
  </si>
  <si>
    <t xml:space="preserve">  Year 5 Revenue</t>
  </si>
  <si>
    <t xml:space="preserve">Regional expansion + ancillary revenue + tier upsell</t>
  </si>
  <si>
    <t xml:space="preserve">RECOMMENDED GROWTH INITIATIVES</t>
  </si>
  <si>
    <t xml:space="preserve">Timeline</t>
  </si>
  <si>
    <t xml:space="preserve">Effort</t>
  </si>
  <si>
    <t xml:space="preserve">Revenue Uplift Est.</t>
  </si>
  <si>
    <t xml:space="preserve">1. Multi-City Jordan Expansion (Irbid, Zarqa, Aqaba in Y1)</t>
  </si>
  <si>
    <t xml:space="preserve">HIGH</t>
  </si>
  <si>
    <t xml:space="preserve">Y1-Y2</t>
  </si>
  <si>
    <t xml:space="preserve">High</t>
  </si>
  <si>
    <t xml:space="preserve">+JD 2-4M/yr by Y5</t>
  </si>
  <si>
    <t xml:space="preserve">    → Jordan cities add 2,000-3,000 drivers; validates model before regional expansion</t>
  </si>
  <si>
    <t xml:space="preserve">2. Accelerated Onboarding (2-week M0 instead of 1 month)</t>
  </si>
  <si>
    <t xml:space="preserve">MEDIUM</t>
  </si>
  <si>
    <t xml:space="preserve">Y1-Q2</t>
  </si>
  <si>
    <t xml:space="preserve">Low</t>
  </si>
  <si>
    <t xml:space="preserve">+JD 80-120K/yr Y1</t>
  </si>
  <si>
    <t xml:space="preserve">    → Faster transition to paid tiers = higher Y1 revenue</t>
  </si>
  <si>
    <t xml:space="preserve">3. Tier Upsell Program (Shift mix to 35%/40%/25%)</t>
  </si>
  <si>
    <t xml:space="preserve">Y2+</t>
  </si>
  <si>
    <t xml:space="preserve">Medium</t>
  </si>
  <si>
    <t xml:space="preserve">+JD 3-5 ARPU/mo</t>
  </si>
  <si>
    <t xml:space="preserve">    → Blended fee rises from JD 32.25 to ~JD 36.50</t>
  </si>
  <si>
    <t xml:space="preserve">4. Ancillary Revenue Streams (Delivery, Corporate, Ads)</t>
  </si>
  <si>
    <t xml:space="preserve">Y2-Y3</t>
  </si>
  <si>
    <t xml:space="preserve">+JD 500K-1.5M/yr by Y4</t>
  </si>
  <si>
    <t xml:space="preserve">    → Detailed in Future Revenue Streams tab (Phase 7)</t>
  </si>
  <si>
    <t xml:space="preserve">5. Referral Bonuses &amp; Driver Incentives</t>
  </si>
  <si>
    <t xml:space="preserve">Y1-Q1</t>
  </si>
  <si>
    <t xml:space="preserve">+30-50% driver growth rate</t>
  </si>
  <si>
    <t xml:space="preserve">WASEL — EXECUTIVE SUMMARY</t>
  </si>
  <si>
    <t xml:space="preserve">Subscription-Based Ride-Hailing Platform  |  Amman, Jordan  |  3-Tier Model with Graduated Onboarding</t>
  </si>
  <si>
    <t xml:space="preserve">COMPANY OVERVIEW</t>
  </si>
  <si>
    <t xml:space="preserve">Wasel is a subscription-based ride-hailing platform launching in Amman, Jordan. Unlike Uber and Careem, which charge</t>
  </si>
  <si>
    <t xml:space="preserve">drivers a 30% commission per ride, Wasel charges a low flat monthly subscription fee and lets drivers keep 100% of their</t>
  </si>
  <si>
    <t xml:space="preserve">fares. Drivers enter through a graduated onboarding program (free trial → ramp → full tier) to reduce friction and churn.</t>
  </si>
  <si>
    <t xml:space="preserve">MARKET OPPORTUNITY</t>
  </si>
  <si>
    <t xml:space="preserve">Amman (4.5M metro)</t>
  </si>
  <si>
    <t xml:space="preserve">Jordan Ride-Hailing Market (2025)</t>
  </si>
  <si>
    <t xml:space="preserve">$61.5M</t>
  </si>
  <si>
    <t xml:space="preserve">Estimated Addressable Drivers</t>
  </si>
  <si>
    <t xml:space="preserve">Market Growth Rate (CAGR)</t>
  </si>
  <si>
    <t xml:space="preserve">Seed Drivers (Month 1)</t>
  </si>
  <si>
    <t xml:space="preserve">Competitors</t>
  </si>
  <si>
    <t xml:space="preserve">Uber, Careem, Jeeny</t>
  </si>
  <si>
    <t xml:space="preserve">3-TIER SUBSCRIPTION MODEL</t>
  </si>
  <si>
    <t xml:space="preserve">Fee (USD)</t>
  </si>
  <si>
    <t xml:space="preserve">Trips/Day Cap</t>
  </si>
  <si>
    <t xml:space="preserve">Driver Mix</t>
  </si>
  <si>
    <t xml:space="preserve">Sub as % of Gross</t>
  </si>
  <si>
    <t xml:space="preserve">Net Driver Income</t>
  </si>
  <si>
    <t xml:space="preserve">Blended Average</t>
  </si>
  <si>
    <t xml:space="preserve">Pricing Edge: A driver earning JD 520/month gross pays just JD 32.25 (6.2%) vs. Uber/Careem's 30% commission (JD 156). Drivers save JD 124/month — a 79% reduction.</t>
  </si>
  <si>
    <t xml:space="preserve">Fee (JOD)</t>
  </si>
  <si>
    <t xml:space="preserve">Purpose</t>
  </si>
  <si>
    <t xml:space="preserve">M0 — Trial</t>
  </si>
  <si>
    <t xml:space="preserve">Zero-risk trial to build trust</t>
  </si>
  <si>
    <t xml:space="preserve">M1 — Ramp</t>
  </si>
  <si>
    <t xml:space="preserve">Low-cost transition to paid model</t>
  </si>
  <si>
    <t xml:space="preserve">M2+ — Full Tier</t>
  </si>
  <si>
    <t xml:space="preserve">JD 20-55</t>
  </si>
  <si>
    <t xml:space="preserve">Full pricing, auto-assigned tier</t>
  </si>
  <si>
    <t xml:space="preserve">M6+ — Mature</t>
  </si>
  <si>
    <t xml:space="preserve">Loyal drivers, lowest churn</t>
  </si>
  <si>
    <t xml:space="preserve">5-YEAR FINANCIAL HIGHLIGHTS</t>
  </si>
  <si>
    <t xml:space="preserve">Active Drivers (EoY)</t>
  </si>
  <si>
    <t xml:space="preserve">Total Revenue (JOD)</t>
  </si>
  <si>
    <t xml:space="preserve">EBITDA (JOD)</t>
  </si>
  <si>
    <t xml:space="preserve">Net Income (JOD)</t>
  </si>
  <si>
    <t xml:space="preserve">Cumulative Net Income (JOD)</t>
  </si>
  <si>
    <t xml:space="preserve">UNIT ECONOMICS &amp; INVESTOR SCORECARD</t>
  </si>
  <si>
    <t xml:space="preserve">Rating</t>
  </si>
  <si>
    <t xml:space="preserve">LTV per Driver (JOD)</t>
  </si>
  <si>
    <t xml:space="preserve">&gt; JD 200</t>
  </si>
  <si>
    <t xml:space="preserve">✅ Excellent</t>
  </si>
  <si>
    <t xml:space="preserve">Break-Even Year</t>
  </si>
  <si>
    <t xml:space="preserve">CAC per Driver (JOD)</t>
  </si>
  <si>
    <t xml:space="preserve">&lt; JD 50</t>
  </si>
  <si>
    <t xml:space="preserve">✅ Strong</t>
  </si>
  <si>
    <t xml:space="preserve">Cumulative Payback Year</t>
  </si>
  <si>
    <t xml:space="preserve">&gt; 3x</t>
  </si>
  <si>
    <t xml:space="preserve">5Y Revenue CAGR</t>
  </si>
  <si>
    <t xml:space="preserve">CAC Payback (months)</t>
  </si>
  <si>
    <t xml:space="preserve">&lt; 12 months</t>
  </si>
  <si>
    <t xml:space="preserve">5Y Cumulative Net Income</t>
  </si>
  <si>
    <t xml:space="preserve">Contribution Margin / Driver</t>
  </si>
  <si>
    <t xml:space="preserve">&gt; JD 15</t>
  </si>
  <si>
    <t xml:space="preserve">Pre-Launch Capital (JOD)</t>
  </si>
  <si>
    <t xml:space="preserve">FUNDING &amp; CAPITAL REQUIREMENTS</t>
  </si>
  <si>
    <t xml:space="preserve">Tech, legal, regulatory, initial marketing</t>
  </si>
  <si>
    <t xml:space="preserve">Year 1 Cash Burn (Net)</t>
  </si>
  <si>
    <t xml:space="preserve">Heaviest burn year (startup costs + ramp)</t>
  </si>
  <si>
    <t xml:space="preserve">Recommended Seed Round</t>
  </si>
  <si>
    <t xml:space="preserve">Burn + 30% buffer for 18-month runway</t>
  </si>
  <si>
    <t xml:space="preserve">KEY RISKS &amp; MITIGANTS</t>
  </si>
  <si>
    <t xml:space="preserve">Risk</t>
  </si>
  <si>
    <t xml:space="preserve">Severity</t>
  </si>
  <si>
    <t xml:space="preserve">Mitigant</t>
  </si>
  <si>
    <t xml:space="preserve">Regulatory delay (LTRC license)</t>
  </si>
  <si>
    <t xml:space="preserve">JD 158K regulatory budget; legal counsel engaged pre-launch</t>
  </si>
  <si>
    <t xml:space="preserve">Driver churn exceeds projections</t>
  </si>
  <si>
    <t xml:space="preserve">Graduated onboarding filters uncommitted; 2% mature churn with insurance lock-in</t>
  </si>
  <si>
    <t xml:space="preserve">Competitor price war (Uber/Careem)</t>
  </si>
  <si>
    <t xml:space="preserve">Wasel's flat fee is structurally cheaper; 79% savings vs commission model</t>
  </si>
  <si>
    <t xml:space="preserve">Slower driver adoption</t>
  </si>
  <si>
    <t xml:space="preserve">LOW</t>
  </si>
  <si>
    <t xml:space="preserve">Break-even at just 1,500 M2+ drivers (Stress Tests); referral program accelerates growth</t>
  </si>
  <si>
    <t xml:space="preserve">Single-city concentration</t>
  </si>
  <si>
    <t xml:space="preserve">Jordan multi-city expansion Y1 (Irbid, Zarqa, Aqaba); Iraq/Egypt from Y2-Y3</t>
  </si>
  <si>
    <t xml:space="preserve">THE INVESTMENT THESIS</t>
  </si>
  <si>
    <t xml:space="preserve">✅  Massive driver savings: JD 124/month vs. commission model (79% cheaper)</t>
  </si>
  <si>
    <t xml:space="preserve">✅  Strong unit economics: LTV/CAC of 13.9x with 2.5-month payback</t>
  </si>
  <si>
    <t xml:space="preserve">✅  Graduated onboarding reduces churn: 25% trial dropout filters to 2% mature churn</t>
  </si>
  <si>
    <t xml:space="preserve">✅  Fast path to profitability: Net income positive by Year 2, cumulative payback by Year 3</t>
  </si>
  <si>
    <t xml:space="preserve">✅  Scalable model: 152% revenue CAGR with JD 6.6M cumulative net income over 5 years</t>
  </si>
  <si>
    <t xml:space="preserve">✅  Regional expansion: Amman → 3 Jordan cities Y1 → Iraq JV + Egypt Y2-Y3 → 8 markets by Y5</t>
  </si>
  <si>
    <t xml:space="preserve">For detailed projections, see: Assumptions | Tiered Plans | Monthly P&amp;L | Unit Economics | Cash Flow | Stress Tests | Multi-Year Projections</t>
  </si>
  <si>
    <t xml:space="preserve">WASEL — REGIONAL EXPANSION STRATEGY &amp; PILOT PROJECTIONS</t>
  </si>
  <si>
    <t xml:space="preserve">Phased rollout across non-GCC Arab markets — where drivers need Wasel most</t>
  </si>
  <si>
    <t xml:space="preserve">EXPANSION ROADMAP OVERVIEW</t>
  </si>
  <si>
    <t xml:space="preserve">Market</t>
  </si>
  <si>
    <t xml:space="preserve">Population</t>
  </si>
  <si>
    <t xml:space="preserve">Est. Market Size</t>
  </si>
  <si>
    <t xml:space="preserve">Pilot Drivers</t>
  </si>
  <si>
    <t xml:space="preserve">Year 1, Q3</t>
  </si>
  <si>
    <t xml:space="preserve">Priority</t>
  </si>
  <si>
    <t xml:space="preserve">Irbid, Jordan</t>
  </si>
  <si>
    <t xml:space="preserve">2.1M</t>
  </si>
  <si>
    <t xml:space="preserve">$18M</t>
  </si>
  <si>
    <t xml:space="preserve">Year 2, Q1</t>
  </si>
  <si>
    <t xml:space="preserve">Year 1, Q4</t>
  </si>
  <si>
    <t xml:space="preserve">🔴 Critical</t>
  </si>
  <si>
    <t xml:space="preserve">Zarqa, Jordan</t>
  </si>
  <si>
    <t xml:space="preserve">1.5M</t>
  </si>
  <si>
    <t xml:space="preserve">$12M</t>
  </si>
  <si>
    <t xml:space="preserve">Year 2, Q2</t>
  </si>
  <si>
    <t xml:space="preserve">Aqaba, Jordan</t>
  </si>
  <si>
    <t xml:space="preserve">0.2M</t>
  </si>
  <si>
    <t xml:space="preserve">$5M</t>
  </si>
  <si>
    <t xml:space="preserve">Year 2, Q3</t>
  </si>
  <si>
    <t xml:space="preserve">✅ High</t>
  </si>
  <si>
    <t xml:space="preserve">🟡 High</t>
  </si>
  <si>
    <t xml:space="preserve">Iraq (Baghdad, Erbil, Basra)</t>
  </si>
  <si>
    <t xml:space="preserve">44M</t>
  </si>
  <si>
    <t xml:space="preserve">$120M+</t>
  </si>
  <si>
    <t xml:space="preserve">Year 3, Q1</t>
  </si>
  <si>
    <t xml:space="preserve">Egypt (Cairo, Alexandria, Giza)</t>
  </si>
  <si>
    <t xml:space="preserve">110M</t>
  </si>
  <si>
    <t xml:space="preserve">$1.84B</t>
  </si>
  <si>
    <t xml:space="preserve">Year 3, Q3</t>
  </si>
  <si>
    <t xml:space="preserve">Palestine (Ramallah, Hebron)</t>
  </si>
  <si>
    <t xml:space="preserve">5.5M</t>
  </si>
  <si>
    <t xml:space="preserve">$15–25M</t>
  </si>
  <si>
    <t xml:space="preserve">Year 3, Q4</t>
  </si>
  <si>
    <t xml:space="preserve">⚠️ Low</t>
  </si>
  <si>
    <t xml:space="preserve">Year 4, Q1</t>
  </si>
  <si>
    <t xml:space="preserve">Syria (Damascus, Aleppo)</t>
  </si>
  <si>
    <t xml:space="preserve">23M</t>
  </si>
  <si>
    <t xml:space="preserve">$200M (post-stabilization)</t>
  </si>
  <si>
    <t xml:space="preserve">Year 5+</t>
  </si>
  <si>
    <t xml:space="preserve">❌ Very Low — monitor reconstruction progress</t>
  </si>
  <si>
    <t xml:space="preserve">🔵 Long-term</t>
  </si>
  <si>
    <t xml:space="preserve">$200M (post-stab.)</t>
  </si>
  <si>
    <t xml:space="preserve">❌ Very Low</t>
  </si>
  <si>
    <t xml:space="preserve">🔵 Monitor</t>
  </si>
  <si>
    <t xml:space="preserve">Libya &amp; Sudan</t>
  </si>
  <si>
    <t xml:space="preserve">55M</t>
  </si>
  <si>
    <t xml:space="preserve">$300M (combined)</t>
  </si>
  <si>
    <t xml:space="preserve">TOTAL ADDRESSABLE MARKET</t>
  </si>
  <si>
    <t xml:space="preserve">Strategic Logic: GCC markets (UAE, Saudi, Qatar) have higher wages — commission models are tolerable. Our sweet spot is the non-GCC Arab world:</t>
  </si>
  <si>
    <t xml:space="preserve">low wages, cash-heavy economies, high unemployment, and millions of drivers for whom keeping 100% of fares is a lifeline.</t>
  </si>
  <si>
    <t xml:space="preserve">DETAILED PILOT PROJECTION: IRAQ</t>
  </si>
  <si>
    <t xml:space="preserve">Largest non-GCC Arab market — 44M population, massive informal transport sector, JV model with local Iraqi partner</t>
  </si>
  <si>
    <t xml:space="preserve">MARKET PROFILE</t>
  </si>
  <si>
    <t xml:space="preserve">COMPETITIVE LANDSCAPE</t>
  </si>
  <si>
    <t xml:space="preserve">44 million</t>
  </si>
  <si>
    <t xml:space="preserve">Dominant Apps</t>
  </si>
  <si>
    <t xml:space="preserve">Careem, Lezzoo, Baly</t>
  </si>
  <si>
    <t xml:space="preserve">GDP Per Capita</t>
  </si>
  <si>
    <t xml:space="preserve">~$5,500</t>
  </si>
  <si>
    <t xml:space="preserve">Commission Rate</t>
  </si>
  <si>
    <t xml:space="preserve">25–30%</t>
  </si>
  <si>
    <t xml:space="preserve">Ride-Hailing Market</t>
  </si>
  <si>
    <t xml:space="preserve">$120M+ est.</t>
  </si>
  <si>
    <t xml:space="preserve">Driver Pain Point</t>
  </si>
  <si>
    <t xml:space="preserve">High commission, low wages</t>
  </si>
  <si>
    <t xml:space="preserve">Currency</t>
  </si>
  <si>
    <t xml:space="preserve">Iraqi Dinar (IQD)</t>
  </si>
  <si>
    <t xml:space="preserve">Digital Payments</t>
  </si>
  <si>
    <t xml:space="preserve">~15% (cash dominant)</t>
  </si>
  <si>
    <t xml:space="preserve">Avg Driver Daily Earnings</t>
  </si>
  <si>
    <t xml:space="preserve">~$15–25/day</t>
  </si>
  <si>
    <t xml:space="preserve">Regulatory</t>
  </si>
  <si>
    <t xml:space="preserve">Evolving, city-level permits</t>
  </si>
  <si>
    <t xml:space="preserve">Key Cities</t>
  </si>
  <si>
    <t xml:space="preserve">Baghdad, Erbil, Basra</t>
  </si>
  <si>
    <t xml:space="preserve">Wasel Advantage</t>
  </si>
  <si>
    <t xml:space="preserve">0% commission = game changer</t>
  </si>
  <si>
    <t xml:space="preserve">Payment Infrastructure</t>
  </si>
  <si>
    <t xml:space="preserve">Cash 85%, Digital 15%</t>
  </si>
  <si>
    <t xml:space="preserve">Go/No-Go Criteria</t>
  </si>
  <si>
    <t xml:space="preserve">600+ signups in 30 days (JV partner network)</t>
  </si>
  <si>
    <t xml:space="preserve">IRAQ PILOT — 3-YEAR QUARTERLY PROJECTION (USD)</t>
  </si>
  <si>
    <t xml:space="preserve">Q1 (Launch)</t>
  </si>
  <si>
    <t xml:space="preserve">Q2</t>
  </si>
  <si>
    <t xml:space="preserve">Q3</t>
  </si>
  <si>
    <t xml:space="preserve">Q4</t>
  </si>
  <si>
    <t xml:space="preserve">Year 2 Total</t>
  </si>
  <si>
    <t xml:space="preserve">DRIVER METRICS</t>
  </si>
  <si>
    <t xml:space="preserve">New Driver Signups</t>
  </si>
  <si>
    <t xml:space="preserve">Churn (quarterly)</t>
  </si>
  <si>
    <t xml:space="preserve">Active Drivers (end of Q)</t>
  </si>
  <si>
    <t xml:space="preserve">REVENUE ($)</t>
  </si>
  <si>
    <t xml:space="preserve">Ancillary Revenue (ads, data)</t>
  </si>
  <si>
    <t xml:space="preserve">COSTS ($)</t>
  </si>
  <si>
    <t xml:space="preserve">Pre-Launch &amp; Setup (JV: 50/50 split)</t>
  </si>
  <si>
    <t xml:space="preserve">Operations &amp; Staff (local team)</t>
  </si>
  <si>
    <t xml:space="preserve">Marketing &amp; Driver Acquisition</t>
  </si>
  <si>
    <t xml:space="preserve">Tech &amp; Platform (local adapt.)</t>
  </si>
  <si>
    <t xml:space="preserve">Total Costs</t>
  </si>
  <si>
    <t xml:space="preserve">Cumulative P&amp;L</t>
  </si>
  <si>
    <t xml:space="preserve">I </t>
  </si>
  <si>
    <t xml:space="preserve">KEY METRICS</t>
  </si>
  <si>
    <t xml:space="preserve">ARPU (avg rev per driver/qtr)</t>
  </si>
  <si>
    <t xml:space="preserve">Net Margin (%)</t>
  </si>
  <si>
    <t xml:space="preserve">DETAILED PILOT PROJECTION: EGYPT</t>
  </si>
  <si>
    <t xml:space="preserve">Largest Arab market by population — 110M people, $1.84B ride-hailing market, massive Uber/Careem driver frustration</t>
  </si>
  <si>
    <t xml:space="preserve">110 million</t>
  </si>
  <si>
    <t xml:space="preserve">Uber, Careem, Swvl, inDrive</t>
  </si>
  <si>
    <t xml:space="preserve">~$3,800</t>
  </si>
  <si>
    <t xml:space="preserve">EGP devaluation + high fees</t>
  </si>
  <si>
    <t xml:space="preserve">Egyptian Pound (EGP)</t>
  </si>
  <si>
    <t xml:space="preserve">~25% (growing fast)</t>
  </si>
  <si>
    <t xml:space="preserve">~$10–18/day</t>
  </si>
  <si>
    <t xml:space="preserve">TRA licensing required</t>
  </si>
  <si>
    <t xml:space="preserve">Cairo, Alexandria, Giza</t>
  </si>
  <si>
    <t xml:space="preserve">0% commission in low-wage market</t>
  </si>
  <si>
    <t xml:space="preserve">Est. Subscription Price</t>
  </si>
  <si>
    <t xml:space="preserve">EGYPT PILOT — 3-YEAR QUARTERLY PROJECTION (USD)</t>
  </si>
  <si>
    <t xml:space="preserve">Ancillary Revenue</t>
  </si>
  <si>
    <t xml:space="preserve">Pre-Launch &amp; Setup</t>
  </si>
  <si>
    <t xml:space="preserve">Operations &amp; Staff</t>
  </si>
  <si>
    <t xml:space="preserve">Marketing &amp; Acquisition</t>
  </si>
  <si>
    <t xml:space="preserve">Tech &amp; Platform (Arabic adapt.)</t>
  </si>
  <si>
    <t xml:space="preserve">CONSOLIDATED EXPANSION INVESTMENT SUMMARY</t>
  </si>
  <si>
    <t xml:space="preserve">Capital requirements, team sizing, and profitability timeline by market</t>
  </si>
  <si>
    <t xml:space="preserve">Pilot Capital</t>
  </si>
  <si>
    <t xml:space="preserve">Team Size</t>
  </si>
  <si>
    <t xml:space="preserve">Break-Even</t>
  </si>
  <si>
    <t xml:space="preserve">Y1 Net Income</t>
  </si>
  <si>
    <t xml:space="preserve">Y2 Net Income</t>
  </si>
  <si>
    <t xml:space="preserve">Y2 Drivers</t>
  </si>
  <si>
    <t xml:space="preserve">PHASE 1 — JORDAN DOMESTIC</t>
  </si>
  <si>
    <t xml:space="preserve">Irbid</t>
  </si>
  <si>
    <t xml:space="preserve">$50K</t>
  </si>
  <si>
    <t xml:space="preserve">$18K</t>
  </si>
  <si>
    <t xml:space="preserve">$95K</t>
  </si>
  <si>
    <t xml:space="preserve">Zarqa</t>
  </si>
  <si>
    <t xml:space="preserve">$40K</t>
  </si>
  <si>
    <t xml:space="preserve">$12K</t>
  </si>
  <si>
    <t xml:space="preserve">$72K</t>
  </si>
  <si>
    <t xml:space="preserve">Aqaba</t>
  </si>
  <si>
    <t xml:space="preserve">$30K</t>
  </si>
  <si>
    <t xml:space="preserve">$8K</t>
  </si>
  <si>
    <t xml:space="preserve">$45K</t>
  </si>
  <si>
    <t xml:space="preserve">PHASE 2 — REGIONAL</t>
  </si>
  <si>
    <t xml:space="preserve">$120K (JV: 50/50)</t>
  </si>
  <si>
    <t xml:space="preserve">Quarter 2</t>
  </si>
  <si>
    <t xml:space="preserve">Egypt (Cairo, Alex., Giza)</t>
  </si>
  <si>
    <t xml:space="preserve">$215K</t>
  </si>
  <si>
    <t xml:space="preserve">$60K</t>
  </si>
  <si>
    <t xml:space="preserve">$5K</t>
  </si>
  <si>
    <t xml:space="preserve">$38K</t>
  </si>
  <si>
    <t xml:space="preserve">PHASE 3 — EMERGING (CONTINGENT)</t>
  </si>
  <si>
    <t xml:space="preserve">Lebanon, Syria, Libya, Sudan</t>
  </si>
  <si>
    <t xml:space="preserve">$100–200K each</t>
  </si>
  <si>
    <t xml:space="preserve">5-8 each</t>
  </si>
  <si>
    <t xml:space="preserve">TBD</t>
  </si>
  <si>
    <t xml:space="preserve">TOTAL EXPANSION INVESTMENT</t>
  </si>
  <si>
    <t xml:space="preserve">$705K–$1.0M</t>
  </si>
  <si>
    <t xml:space="preserve">35–50 staff</t>
  </si>
  <si>
    <t xml:space="preserve">6–10 months avg</t>
  </si>
  <si>
    <t xml:space="preserve">$152K+</t>
  </si>
  <si>
    <t xml:space="preserve">$1.4M+</t>
  </si>
  <si>
    <t xml:space="preserve">20,000+</t>
  </si>
  <si>
    <t xml:space="preserve">GO / NO-GO DECISION FRAMEWORK</t>
  </si>
  <si>
    <t xml:space="preserve">Criteria</t>
  </si>
  <si>
    <t xml:space="preserve">✅ GO Signal</t>
  </si>
  <si>
    <t xml:space="preserve">⚠️ PAUSE Signal</t>
  </si>
  <si>
    <t xml:space="preserve">❌ NO-GO Signal</t>
  </si>
  <si>
    <t xml:space="preserve">Pre-Launch Signups (30 days)</t>
  </si>
  <si>
    <t xml:space="preserve">&gt; 500 drivers</t>
  </si>
  <si>
    <t xml:space="preserve">200–500 drivers</t>
  </si>
  <si>
    <t xml:space="preserve">&lt; 200 drivers</t>
  </si>
  <si>
    <t xml:space="preserve">Regulatory Approval</t>
  </si>
  <si>
    <t xml:space="preserve">License granted</t>
  </si>
  <si>
    <t xml:space="preserve">In progress, 3+ mo.</t>
  </si>
  <si>
    <t xml:space="preserve">Blocked / banned</t>
  </si>
  <si>
    <t xml:space="preserve">Cash + mobile money</t>
  </si>
  <si>
    <t xml:space="preserve">Cash only, digital &lt;5%</t>
  </si>
  <si>
    <t xml:space="preserve">No viable collection</t>
  </si>
  <si>
    <t xml:space="preserve">Local Partner / Team</t>
  </si>
  <si>
    <t xml:space="preserve">Confirmed ops lead</t>
  </si>
  <si>
    <t xml:space="preserve">Candidates identified</t>
  </si>
  <si>
    <t xml:space="preserve">No viable candidates</t>
  </si>
  <si>
    <t xml:space="preserve">Political / Security Stability</t>
  </si>
  <si>
    <t xml:space="preserve">Stable, low risk</t>
  </si>
  <si>
    <t xml:space="preserve">Moderate risk, monitor</t>
  </si>
  <si>
    <t xml:space="preserve">Active conflict / crisis</t>
  </si>
  <si>
    <t xml:space="preserve">Unit Economics Validation</t>
  </si>
  <si>
    <t xml:space="preserve">CAC payback &lt; 4 mo.</t>
  </si>
  <si>
    <t xml:space="preserve">Payback 4–8 months</t>
  </si>
  <si>
    <t xml:space="preserve">Payback &gt; 12 months</t>
  </si>
  <si>
    <t xml:space="preserve">WASEL — FUTURE REVENUE STREAMS</t>
  </si>
  <si>
    <t xml:space="preserve">Ancillary &amp; expansion revenue beyond core subscription fees  |  Launch timeline: Year 2–Year 4</t>
  </si>
  <si>
    <t xml:space="preserve">REVENUE STREAM OVERVIEW</t>
  </si>
  <si>
    <t xml:space="preserve">Revenue Stream</t>
  </si>
  <si>
    <t xml:space="preserve">Launch</t>
  </si>
  <si>
    <t xml:space="preserve">Revenue Model</t>
  </si>
  <si>
    <t xml:space="preserve">Est. Revenue / Mo (Mature)</t>
  </si>
  <si>
    <t xml:space="preserve">Est. Annual (Y5)</t>
  </si>
  <si>
    <t xml:space="preserve">Margin</t>
  </si>
  <si>
    <t xml:space="preserve">Complexity</t>
  </si>
  <si>
    <t xml:space="preserve">1. Fleet Partner Program</t>
  </si>
  <si>
    <t xml:space="preserve">Y2-Q1</t>
  </si>
  <si>
    <t xml:space="preserve">JD 150-300/mo per fleet (5+ cars)</t>
  </si>
  <si>
    <t xml:space="preserve">    → Fleet dashboard, bulk onboarding, driver management tools</t>
  </si>
  <si>
    <t xml:space="preserve">2. Corporate Accounts (B2B)</t>
  </si>
  <si>
    <t xml:space="preserve">Y2-Q2</t>
  </si>
  <si>
    <t xml:space="preserve">JD 500-2,000/mo per corporate</t>
  </si>
  <si>
    <t xml:space="preserve">    → Employee ride credits, monthly billing, priority dispatch for corporate partners</t>
  </si>
  <si>
    <t xml:space="preserve">3. Delivery Partnerships</t>
  </si>
  <si>
    <t xml:space="preserve">Y2-Q3</t>
  </si>
  <si>
    <t xml:space="preserve">JD 2-3/delivery commission</t>
  </si>
  <si>
    <t xml:space="preserve">    → Partner with restaurants/grocery; drivers opt-in to delivery during off-peak hours</t>
  </si>
  <si>
    <t xml:space="preserve">4. Insurance Brokerage</t>
  </si>
  <si>
    <t xml:space="preserve">Y2-Q4</t>
  </si>
  <si>
    <t xml:space="preserve">JD 5-10/driver/mo commission</t>
  </si>
  <si>
    <t xml:space="preserve">    → Refer drivers to partner insurers for comprehensive coverage; earn referral commission</t>
  </si>
  <si>
    <t xml:space="preserve">5. In-App Advertising</t>
  </si>
  <si>
    <t xml:space="preserve">Y3-Q1</t>
  </si>
  <si>
    <t xml:space="preserve">CPM / sponsored placements</t>
  </si>
  <si>
    <t xml:space="preserve">    → Sponsored ride offers, driver app banner ads, rider destination suggestions</t>
  </si>
  <si>
    <t xml:space="preserve">6. Data Licensing</t>
  </si>
  <si>
    <t xml:space="preserve">Y3-Q2</t>
  </si>
  <si>
    <t xml:space="preserve">Annual contracts with logistics cos</t>
  </si>
  <si>
    <t xml:space="preserve">    → Anonymized trip patterns, demand heatmaps sold to logistics/urban planning firms</t>
  </si>
  <si>
    <t xml:space="preserve">7. Rider Subscriptions</t>
  </si>
  <si>
    <t xml:space="preserve">Y3-Q3</t>
  </si>
  <si>
    <t xml:space="preserve">JD 5-10/mo rider loyalty pass</t>
  </si>
  <si>
    <t xml:space="preserve">    → Priority matching, discounted fares, ride history perks for frequent riders</t>
  </si>
  <si>
    <t xml:space="preserve">TOTAL ANCILLARY REVENUE POTENTIAL (Y5)</t>
  </si>
  <si>
    <t xml:space="preserve">Ancillary as % of Core Subscription Rev (Y5)</t>
  </si>
  <si>
    <t xml:space="preserve">REVENUE DIVERSIFICATION ROADMAP</t>
  </si>
  <si>
    <t xml:space="preserve">Year</t>
  </si>
  <si>
    <t xml:space="preserve">Core Sub Revenue</t>
  </si>
  <si>
    <t xml:space="preserve">Ancillary Mix %</t>
  </si>
  <si>
    <t xml:space="preserve">New Streams Launched</t>
  </si>
  <si>
    <t xml:space="preserve">None (core only)</t>
  </si>
  <si>
    <t xml:space="preserve">Fleet, Corporate, Delivery</t>
  </si>
  <si>
    <t xml:space="preserve">Insurance, Ads, Data, Rider Subs</t>
  </si>
  <si>
    <t xml:space="preserve">All 7 streams active</t>
  </si>
  <si>
    <t xml:space="preserve">All 7 streams mature</t>
  </si>
  <si>
    <t xml:space="preserve">STRATEGIC NOTES</t>
  </si>
  <si>
    <t xml:space="preserve">▶  Ancillary revenue reaches JD 2.1M/yr by Y5 (potential) — currently modeled conservatively at JD 662K in Multi-Year Projections.</t>
  </si>
  <si>
    <t xml:space="preserve">▶  Full ancillary potential adds 56% on top of core subscription revenue, transforming Wasel from a single-product to a platform business.</t>
  </si>
  <si>
    <t xml:space="preserve">▶  Highest-margin streams (Advertising 95%, Insurance 90%, Data 95%) should be prioritized for early launch to maximize profitability.</t>
  </si>
  <si>
    <t xml:space="preserve">▶  Fleet Partner and Corporate Accounts create B2B revenue with longer contracts and lower churn — key for investor confidence.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</si>
</sst>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.00&quot; JOD&quot;;\(#,##0.00&quot; JOD)&quot;;\-"/>
    <numFmt numFmtId="166" formatCode="#,##0;\(#,##0\);\-"/>
    <numFmt numFmtId="167" formatCode="0.00\x"/>
    <numFmt numFmtId="168" formatCode="0%"/>
    <numFmt numFmtId="169" formatCode="0.0%"/>
    <numFmt numFmtId="170" formatCode="#,##0"/>
    <numFmt numFmtId="171" formatCode="\$#,##0"/>
    <numFmt numFmtId="172" formatCode="0.00%"/>
    <numFmt numFmtId="173" formatCode="#,##0.00"/>
    <numFmt numFmtId="174" formatCode="#,##0.0"/>
    <numFmt numFmtId="175" formatCode="&quot;JD &quot;#,##0.0&quot; saved&quot;"/>
    <numFmt numFmtId="176" formatCode="#,##0;\(#,##0\);\-"/>
    <numFmt numFmtId="177" formatCode="#,##0;\(#,##0\)"/>
    <numFmt numFmtId="178" formatCode="0.00"/>
    <numFmt numFmtId="179" formatCode="0.00;\(0.00\)"/>
    <numFmt numFmtId="180" formatCode="0.0"/>
    <numFmt numFmtId="181" formatCode="0.0\x"/>
    <numFmt numFmtId="182" formatCode="0.0&quot; mo&quot;"/>
    <numFmt numFmtId="183" formatCode="\$#,##0.00"/>
    <numFmt numFmtId="184" formatCode="d\-mmm"/>
    <numFmt numFmtId="185" formatCode="\$#,##0;&quot;($&quot;#,##0\)"/>
    <numFmt numFmtId="186" formatCode="\$#,##0;&quot;($&quot;#,##0\);\-"/>
  </numFmts>
  <fonts count="6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sz val="9.5"/>
      <color rgb="FFC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4"/>
      <color rgb="FFFFFFFF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12"/>
      <color rgb="FF000000"/>
      <name val="Aptos Narrow"/>
      <family val="0"/>
      <charset val="1"/>
    </font>
    <font>
      <sz val="12"/>
      <color theme="1"/>
      <name val="Aptos Narrow"/>
      <family val="0"/>
      <charset val="1"/>
    </font>
    <font>
      <sz val="12"/>
      <color rgb="FF0000FF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rgb="FF008000"/>
      <name val="Aptos Narrow"/>
      <family val="0"/>
      <charset val="1"/>
    </font>
    <font>
      <b val="true"/>
      <sz val="12"/>
      <color rgb="FF2E75B6"/>
      <name val="Aptos Narrow"/>
      <family val="0"/>
      <charset val="1"/>
    </font>
    <font>
      <b val="true"/>
      <sz val="12"/>
      <color rgb="FF008000"/>
      <name val="Aptos Narrow"/>
      <family val="0"/>
      <charset val="1"/>
    </font>
    <font>
      <sz val="12"/>
      <color rgb="FF808080"/>
      <name val="Aptos Narrow"/>
      <family val="0"/>
      <charset val="1"/>
    </font>
    <font>
      <sz val="12"/>
      <color rgb="FFFF0000"/>
      <name val="Aptos Narrow"/>
      <family val="0"/>
      <charset val="1"/>
    </font>
    <font>
      <b val="true"/>
      <sz val="12"/>
      <color rgb="FFFF0000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6"/>
      <color rgb="FFFFFFFF"/>
      <name val="Aptos Narrow"/>
      <family val="0"/>
      <charset val="1"/>
    </font>
    <font>
      <i val="true"/>
      <sz val="11"/>
      <color rgb="FF666666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b val="true"/>
      <sz val="12"/>
      <color rgb="FFFF8C00"/>
      <name val="Aptos Narrow"/>
      <family val="0"/>
      <charset val="1"/>
    </font>
    <font>
      <i val="true"/>
      <sz val="12"/>
      <color theme="1"/>
      <name val="Aptos Narrow"/>
      <family val="0"/>
      <charset val="1"/>
    </font>
    <font>
      <sz val="12"/>
      <color rgb="FF000000"/>
      <name val="Aptos Narrow"/>
      <family val="0"/>
      <charset val="1"/>
    </font>
    <font>
      <i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2"/>
      <color rgb="FFFF0000"/>
      <name val="Aptos Narrow"/>
      <family val="2"/>
      <charset val="1"/>
    </font>
    <font>
      <b val="true"/>
      <i val="true"/>
      <sz val="12"/>
      <color theme="1"/>
      <name val="Aptos Narrow"/>
      <family val="0"/>
      <charset val="1"/>
    </font>
    <font>
      <b val="true"/>
      <sz val="18"/>
      <color rgb="FFFFFFFF"/>
      <name val="Aptos Narrow"/>
      <family val="0"/>
      <charset val="1"/>
    </font>
    <font>
      <i val="true"/>
      <sz val="11"/>
      <color rgb="FF44546A"/>
      <name val="Aptos Narrow"/>
      <family val="0"/>
      <charset val="1"/>
    </font>
    <font>
      <sz val="11"/>
      <color theme="1"/>
      <name val="Aptos Narrow"/>
      <family val="0"/>
      <charset val="1"/>
    </font>
    <font>
      <sz val="11"/>
      <color rgb="FF008000"/>
      <name val="Aptos Narrow"/>
      <family val="0"/>
      <charset val="1"/>
    </font>
    <font>
      <b val="true"/>
      <sz val="11"/>
      <color rgb="FFC00000"/>
      <name val="Aptos Narrow"/>
      <family val="0"/>
      <charset val="1"/>
    </font>
    <font>
      <b val="true"/>
      <sz val="11"/>
      <color rgb="FFBF8F00"/>
      <name val="Aptos Narrow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rgb="FFBF8F00"/>
      <name val="Aptos Narrow"/>
      <family val="0"/>
      <charset val="1"/>
    </font>
    <font>
      <sz val="11"/>
      <color rgb="FFC00000"/>
      <name val="Aptos Narrow"/>
      <family val="0"/>
      <charset val="1"/>
    </font>
    <font>
      <b val="true"/>
      <sz val="11"/>
      <color rgb="FF2E75B6"/>
      <name val="Aptos Narrow"/>
      <family val="0"/>
      <charset val="1"/>
    </font>
    <font>
      <i val="true"/>
      <sz val="10"/>
      <color rgb="FF44546A"/>
      <name val="Aptos Narrow"/>
      <family val="0"/>
      <charset val="1"/>
    </font>
    <font>
      <sz val="4"/>
      <color theme="1"/>
      <name val="Aptos Narrow"/>
      <family val="2"/>
      <charset val="1"/>
    </font>
    <font>
      <sz val="11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  <font>
      <b val="true"/>
      <sz val="11"/>
      <color rgb="FF008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2E75B6"/>
      <name val="Aptos Narrow"/>
      <family val="0"/>
      <charset val="1"/>
    </font>
    <font>
      <sz val="10"/>
      <color theme="1"/>
      <name val="Aptos Narrow"/>
      <family val="0"/>
      <charset val="1"/>
    </font>
    <font>
      <b val="true"/>
      <sz val="10"/>
      <color theme="1"/>
      <name val="Aptos Narrow"/>
      <family val="0"/>
      <charset val="1"/>
    </font>
    <font>
      <sz val="10"/>
      <color rgb="FFC00000"/>
      <name val="Aptos Narrow"/>
      <family val="0"/>
      <charset val="1"/>
    </font>
    <font>
      <b val="true"/>
      <sz val="10"/>
      <color rgb="FFC00000"/>
      <name val="Aptos Narrow"/>
      <family val="0"/>
      <charset val="1"/>
    </font>
    <font>
      <b val="true"/>
      <sz val="10"/>
      <color rgb="FF008000"/>
      <name val="Aptos Narrow"/>
      <family val="0"/>
      <charset val="1"/>
    </font>
    <font>
      <b val="true"/>
      <sz val="10"/>
      <color rgb="FF44546A"/>
      <name val="Aptos Narrow"/>
      <family val="0"/>
      <charset val="1"/>
    </font>
    <font>
      <sz val="10"/>
      <color rgb="FF008000"/>
      <name val="Aptos Narrow"/>
      <family val="0"/>
      <charset val="1"/>
    </font>
    <font>
      <sz val="10"/>
      <color rgb="FFBF8F00"/>
      <name val="Aptos Narro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4472C4"/>
      </patternFill>
    </fill>
    <fill>
      <patternFill patternType="solid">
        <fgColor rgb="FFD5E8F0"/>
        <bgColor rgb="FFD6E4F0"/>
      </patternFill>
    </fill>
    <fill>
      <patternFill patternType="solid">
        <fgColor rgb="FFE2EFDA"/>
        <bgColor rgb="FFDEEAF6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BE5D6"/>
      </patternFill>
    </fill>
    <fill>
      <patternFill patternType="solid">
        <fgColor rgb="FFFFF2CC"/>
        <bgColor rgb="FFFBE5D6"/>
      </patternFill>
    </fill>
    <fill>
      <patternFill patternType="solid">
        <fgColor rgb="FFF5F5F5"/>
        <bgColor rgb="FFF2F2F2"/>
      </patternFill>
    </fill>
    <fill>
      <patternFill patternType="solid">
        <fgColor rgb="FFD6E4F0"/>
        <bgColor rgb="FFD5E8F0"/>
      </patternFill>
    </fill>
    <fill>
      <patternFill patternType="solid">
        <fgColor rgb="FFC00000"/>
        <bgColor rgb="FFFF0000"/>
      </patternFill>
    </fill>
    <fill>
      <patternFill patternType="solid">
        <fgColor rgb="FFD6DCE4"/>
        <bgColor rgb="FFD6E4F0"/>
      </patternFill>
    </fill>
    <fill>
      <patternFill patternType="solid">
        <fgColor rgb="FF44546A"/>
        <bgColor rgb="FF444444"/>
      </patternFill>
    </fill>
    <fill>
      <patternFill patternType="solid">
        <fgColor rgb="FFDEEAF6"/>
        <bgColor rgb="FFD5E8F0"/>
      </patternFill>
    </fill>
    <fill>
      <patternFill patternType="solid">
        <fgColor rgb="FFF2F2F2"/>
        <bgColor rgb="FFF5F5F5"/>
      </patternFill>
    </fill>
    <fill>
      <patternFill patternType="solid">
        <fgColor rgb="FF548235"/>
        <bgColor rgb="FF666666"/>
      </patternFill>
    </fill>
    <fill>
      <patternFill patternType="solid">
        <fgColor rgb="FFFBE5D6"/>
        <bgColor rgb="FFFCE4D6"/>
      </patternFill>
    </fill>
    <fill>
      <patternFill patternType="solid">
        <fgColor rgb="FFBF8F00"/>
        <bgColor rgb="FFFF8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5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7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9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59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5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9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9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7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58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5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5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2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6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5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4" fillId="1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BBBBB"/>
      <rgbColor rgb="FF808080"/>
      <rgbColor rgb="FF9999FF"/>
      <rgbColor rgb="FF7030A0"/>
      <rgbColor rgb="FFFFF2CC"/>
      <rgbColor rgb="FFD5E8F0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EFDA"/>
      <rgbColor rgb="FFFBE5D6"/>
      <rgbColor rgb="FFD6E4F0"/>
      <rgbColor rgb="FFF2F2F2"/>
      <rgbColor rgb="FFF5F5F5"/>
      <rgbColor rgb="FFFCE4D6"/>
      <rgbColor rgb="FF4472C4"/>
      <rgbColor rgb="FF33CCCC"/>
      <rgbColor rgb="FFBF8F00"/>
      <rgbColor rgb="FFFFCC00"/>
      <rgbColor rgb="FFFF8C00"/>
      <rgbColor rgb="FFFF6600"/>
      <rgbColor rgb="FF666666"/>
      <rgbColor rgb="FF969696"/>
      <rgbColor rgb="FF1F3864"/>
      <rgbColor rgb="FF00B050"/>
      <rgbColor rgb="FF003300"/>
      <rgbColor rgb="FF333300"/>
      <rgbColor rgb="FF993300"/>
      <rgbColor rgb="FF993366"/>
      <rgbColor rgb="FF44546A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38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8" t="s">
        <v>10</v>
      </c>
      <c r="D6" s="9" t="s">
        <v>11</v>
      </c>
      <c r="E6" s="9" t="s">
        <v>12</v>
      </c>
    </row>
    <row r="7" customFormat="false" ht="15" hidden="false" customHeight="false" outlineLevel="0" collapsed="false">
      <c r="A7" s="10" t="s">
        <v>13</v>
      </c>
      <c r="B7" s="11" t="s">
        <v>14</v>
      </c>
      <c r="C7" s="12" t="s">
        <v>15</v>
      </c>
      <c r="D7" s="9" t="s">
        <v>16</v>
      </c>
      <c r="E7" s="9" t="s">
        <v>17</v>
      </c>
    </row>
    <row r="8" customFormat="false" ht="15" hidden="false" customHeight="false" outlineLevel="0" collapsed="false">
      <c r="A8" s="6" t="s">
        <v>18</v>
      </c>
      <c r="B8" s="7" t="s">
        <v>19</v>
      </c>
      <c r="C8" s="8" t="s">
        <v>20</v>
      </c>
      <c r="D8" s="9" t="s">
        <v>21</v>
      </c>
      <c r="E8" s="9" t="s">
        <v>22</v>
      </c>
    </row>
    <row r="9" customFormat="false" ht="15" hidden="false" customHeight="false" outlineLevel="0" collapsed="false">
      <c r="A9" s="10" t="s">
        <v>23</v>
      </c>
      <c r="B9" s="11" t="s">
        <v>24</v>
      </c>
      <c r="C9" s="12" t="s">
        <v>25</v>
      </c>
      <c r="D9" s="13" t="s">
        <v>26</v>
      </c>
      <c r="E9" s="13" t="s">
        <v>27</v>
      </c>
    </row>
    <row r="10" customFormat="false" ht="15" hidden="false" customHeight="false" outlineLevel="0" collapsed="false">
      <c r="A10" s="6" t="s">
        <v>28</v>
      </c>
      <c r="B10" s="7" t="s">
        <v>29</v>
      </c>
      <c r="C10" s="8" t="s">
        <v>30</v>
      </c>
      <c r="D10" s="9" t="s">
        <v>31</v>
      </c>
      <c r="E10" s="9" t="s">
        <v>32</v>
      </c>
    </row>
    <row r="11" customFormat="false" ht="15" hidden="false" customHeight="false" outlineLevel="0" collapsed="false">
      <c r="A11" s="10" t="s">
        <v>33</v>
      </c>
      <c r="B11" s="11" t="s">
        <v>34</v>
      </c>
      <c r="C11" s="12" t="s">
        <v>35</v>
      </c>
      <c r="D11" s="9" t="s">
        <v>36</v>
      </c>
      <c r="E11" s="9" t="s">
        <v>37</v>
      </c>
    </row>
    <row r="12" customFormat="false" ht="15" hidden="false" customHeight="false" outlineLevel="0" collapsed="false">
      <c r="A12" s="6" t="s">
        <v>38</v>
      </c>
      <c r="B12" s="7" t="s">
        <v>39</v>
      </c>
      <c r="C12" s="8" t="s">
        <v>40</v>
      </c>
      <c r="D12" s="14" t="s">
        <v>41</v>
      </c>
      <c r="E12" s="14" t="s">
        <v>42</v>
      </c>
    </row>
    <row r="13" customFormat="false" ht="15" hidden="false" customHeight="false" outlineLevel="0" collapsed="false">
      <c r="A13" s="10" t="s">
        <v>43</v>
      </c>
      <c r="B13" s="11" t="s">
        <v>44</v>
      </c>
      <c r="C13" s="12" t="s">
        <v>45</v>
      </c>
      <c r="D13" s="14" t="s">
        <v>46</v>
      </c>
      <c r="E13" s="14" t="s">
        <v>47</v>
      </c>
    </row>
    <row r="14" customFormat="false" ht="15" hidden="false" customHeight="false" outlineLevel="0" collapsed="false">
      <c r="A14" s="6" t="s">
        <v>48</v>
      </c>
      <c r="B14" s="7" t="s">
        <v>49</v>
      </c>
      <c r="C14" s="8" t="s">
        <v>35</v>
      </c>
      <c r="D14" s="9" t="s">
        <v>50</v>
      </c>
      <c r="E14" s="9" t="s">
        <v>51</v>
      </c>
    </row>
    <row r="16" customFormat="false" ht="15" hidden="false" customHeight="false" outlineLevel="0" collapsed="false">
      <c r="A16" s="3" t="s">
        <v>52</v>
      </c>
      <c r="B16" s="3"/>
      <c r="C16" s="3"/>
      <c r="D16" s="3"/>
      <c r="E16" s="3"/>
    </row>
    <row r="17" customFormat="false" ht="15" hidden="false" customHeight="false" outlineLevel="0" collapsed="false">
      <c r="A17" s="5" t="s">
        <v>53</v>
      </c>
      <c r="B17" s="5"/>
      <c r="C17" s="15" t="s">
        <v>54</v>
      </c>
      <c r="D17" s="15" t="s">
        <v>55</v>
      </c>
      <c r="E17" s="15" t="s">
        <v>56</v>
      </c>
    </row>
    <row r="18" customFormat="false" ht="15" hidden="false" customHeight="false" outlineLevel="0" collapsed="false">
      <c r="A18" s="7" t="s">
        <v>57</v>
      </c>
      <c r="B18" s="7"/>
      <c r="C18" s="16" t="n">
        <v>157261</v>
      </c>
      <c r="D18" s="16" t="n">
        <v>157261</v>
      </c>
      <c r="E18" s="17" t="n">
        <v>0</v>
      </c>
    </row>
    <row r="19" customFormat="false" ht="15" hidden="false" customHeight="false" outlineLevel="0" collapsed="false">
      <c r="A19" s="11" t="s">
        <v>58</v>
      </c>
      <c r="B19" s="11"/>
      <c r="C19" s="17" t="n">
        <v>0</v>
      </c>
      <c r="D19" s="18" t="n">
        <v>130000</v>
      </c>
      <c r="E19" s="18" t="n">
        <v>130000</v>
      </c>
    </row>
    <row r="20" customFormat="false" ht="15" hidden="false" customHeight="false" outlineLevel="0" collapsed="false">
      <c r="A20" s="7" t="s">
        <v>59</v>
      </c>
      <c r="B20" s="7"/>
      <c r="C20" s="16" t="n">
        <v>157261</v>
      </c>
      <c r="D20" s="18" t="n">
        <v>287261</v>
      </c>
      <c r="E20" s="18" t="n">
        <v>130000</v>
      </c>
    </row>
    <row r="21" customFormat="false" ht="15" hidden="false" customHeight="false" outlineLevel="0" collapsed="false">
      <c r="A21" s="11" t="s">
        <v>60</v>
      </c>
      <c r="B21" s="11"/>
      <c r="C21" s="17" t="n">
        <v>-139169</v>
      </c>
      <c r="D21" s="17" t="n">
        <v>-139169</v>
      </c>
      <c r="E21" s="17" t="n">
        <v>0</v>
      </c>
    </row>
    <row r="22" customFormat="false" ht="15" hidden="false" customHeight="false" outlineLevel="0" collapsed="false">
      <c r="A22" s="7" t="s">
        <v>61</v>
      </c>
      <c r="B22" s="7"/>
      <c r="C22" s="16" t="n">
        <v>18092</v>
      </c>
      <c r="D22" s="18" t="n">
        <v>148092</v>
      </c>
      <c r="E22" s="18" t="n">
        <v>130000</v>
      </c>
    </row>
    <row r="23" customFormat="false" ht="15" hidden="false" customHeight="false" outlineLevel="0" collapsed="false">
      <c r="A23" s="11" t="s">
        <v>62</v>
      </c>
      <c r="B23" s="11"/>
      <c r="C23" s="19" t="s">
        <v>63</v>
      </c>
      <c r="D23" s="20" t="s">
        <v>64</v>
      </c>
      <c r="E23" s="20" t="s">
        <v>65</v>
      </c>
    </row>
    <row r="24" customFormat="false" ht="15" hidden="false" customHeight="false" outlineLevel="0" collapsed="false">
      <c r="A24" s="7" t="s">
        <v>66</v>
      </c>
      <c r="B24" s="7"/>
      <c r="C24" s="16" t="n">
        <v>-807760</v>
      </c>
      <c r="D24" s="16" t="n">
        <v>-807760</v>
      </c>
      <c r="E24" s="17" t="n">
        <v>0</v>
      </c>
    </row>
    <row r="25" customFormat="false" ht="15" hidden="false" customHeight="false" outlineLevel="0" collapsed="false">
      <c r="A25" s="11" t="s">
        <v>67</v>
      </c>
      <c r="B25" s="11"/>
      <c r="C25" s="17" t="n">
        <v>0</v>
      </c>
      <c r="D25" s="21" t="n">
        <v>-54000</v>
      </c>
      <c r="E25" s="21" t="n">
        <v>-54000</v>
      </c>
    </row>
    <row r="26" customFormat="false" ht="15" hidden="false" customHeight="false" outlineLevel="0" collapsed="false">
      <c r="A26" s="7" t="s">
        <v>68</v>
      </c>
      <c r="B26" s="7"/>
      <c r="C26" s="16" t="n">
        <v>-789667</v>
      </c>
      <c r="D26" s="18" t="n">
        <v>-713667</v>
      </c>
      <c r="E26" s="18" t="n">
        <v>76000</v>
      </c>
    </row>
    <row r="27" customFormat="false" ht="15" hidden="false" customHeight="false" outlineLevel="0" collapsed="false">
      <c r="A27" s="11" t="s">
        <v>69</v>
      </c>
      <c r="B27" s="11"/>
      <c r="C27" s="17" t="n">
        <v>-801334</v>
      </c>
      <c r="D27" s="18" t="n">
        <v>-727334</v>
      </c>
      <c r="E27" s="18" t="n">
        <v>74000</v>
      </c>
    </row>
    <row r="28" customFormat="false" ht="15" hidden="false" customHeight="false" outlineLevel="0" collapsed="false">
      <c r="A28" s="7" t="s">
        <v>70</v>
      </c>
      <c r="B28" s="7"/>
      <c r="C28" s="16" t="n">
        <v>0</v>
      </c>
      <c r="D28" s="18" t="n">
        <v>25000</v>
      </c>
      <c r="E28" s="18" t="n">
        <v>25000</v>
      </c>
    </row>
    <row r="29" customFormat="false" ht="15" hidden="false" customHeight="false" outlineLevel="0" collapsed="false">
      <c r="A29" s="11" t="s">
        <v>71</v>
      </c>
      <c r="B29" s="11"/>
      <c r="C29" s="17" t="n">
        <v>-436944</v>
      </c>
      <c r="D29" s="18" t="n">
        <v>-362944</v>
      </c>
      <c r="E29" s="18" t="n">
        <v>74000</v>
      </c>
    </row>
    <row r="30" customFormat="false" ht="15" hidden="false" customHeight="false" outlineLevel="0" collapsed="false">
      <c r="A30" s="7" t="s">
        <v>72</v>
      </c>
      <c r="B30" s="7"/>
      <c r="C30" s="16" t="n">
        <v>568000</v>
      </c>
      <c r="D30" s="18" t="n">
        <v>472000</v>
      </c>
      <c r="E30" s="18" t="n">
        <v>-96000</v>
      </c>
    </row>
    <row r="32" customFormat="false" ht="34.5" hidden="false" customHeight="true" outlineLevel="0" collapsed="false">
      <c r="A32" s="22" t="s">
        <v>73</v>
      </c>
      <c r="B32" s="22"/>
      <c r="C32" s="22"/>
      <c r="D32" s="22"/>
      <c r="E32" s="22"/>
    </row>
  </sheetData>
  <mergeCells count="19">
    <mergeCell ref="A1:E1"/>
    <mergeCell ref="A2:E2"/>
    <mergeCell ref="A4:E4"/>
    <mergeCell ref="A16:E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14" min="3" style="0" width="16"/>
    <col collapsed="false" customWidth="true" hidden="false" outlineLevel="0" max="15" min="15" style="0" width="20"/>
  </cols>
  <sheetData>
    <row r="1" customFormat="false" ht="17.35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3" t="s">
        <v>76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5" t="s">
        <v>77</v>
      </c>
      <c r="B5" s="5"/>
      <c r="C5" s="5" t="s">
        <v>78</v>
      </c>
      <c r="D5" s="5"/>
      <c r="E5" s="5"/>
      <c r="H5" s="5" t="s">
        <v>79</v>
      </c>
    </row>
    <row r="6" customFormat="false" ht="15" hidden="false" customHeight="false" outlineLevel="0" collapsed="false">
      <c r="A6" s="7" t="s">
        <v>80</v>
      </c>
      <c r="B6" s="7"/>
      <c r="C6" s="7" t="s">
        <v>81</v>
      </c>
      <c r="D6" s="7"/>
      <c r="E6" s="7"/>
      <c r="H6" s="7" t="s">
        <v>82</v>
      </c>
    </row>
    <row r="7" customFormat="false" ht="15" hidden="false" customHeight="false" outlineLevel="0" collapsed="false">
      <c r="A7" s="11" t="s">
        <v>83</v>
      </c>
      <c r="B7" s="11"/>
      <c r="C7" s="11" t="s">
        <v>84</v>
      </c>
      <c r="D7" s="11"/>
      <c r="E7" s="11"/>
      <c r="H7" s="11" t="s">
        <v>85</v>
      </c>
    </row>
    <row r="8" customFormat="false" ht="15" hidden="false" customHeight="false" outlineLevel="0" collapsed="false">
      <c r="A8" s="7" t="s">
        <v>86</v>
      </c>
      <c r="B8" s="7"/>
      <c r="C8" s="7" t="s">
        <v>87</v>
      </c>
      <c r="D8" s="7"/>
      <c r="E8" s="7"/>
      <c r="H8" s="7" t="s">
        <v>88</v>
      </c>
    </row>
    <row r="9" customFormat="false" ht="15" hidden="false" customHeight="false" outlineLevel="0" collapsed="false">
      <c r="A9" s="11" t="s">
        <v>89</v>
      </c>
      <c r="B9" s="11"/>
      <c r="C9" s="11" t="s">
        <v>90</v>
      </c>
      <c r="D9" s="11"/>
      <c r="E9" s="11"/>
      <c r="H9" s="11" t="s">
        <v>91</v>
      </c>
    </row>
    <row r="10" customFormat="false" ht="15" hidden="false" customHeight="false" outlineLevel="0" collapsed="false">
      <c r="A10" s="7" t="s">
        <v>92</v>
      </c>
      <c r="B10" s="7"/>
      <c r="C10" s="7" t="s">
        <v>93</v>
      </c>
      <c r="D10" s="7"/>
      <c r="E10" s="7"/>
      <c r="H10" s="7" t="s">
        <v>94</v>
      </c>
    </row>
    <row r="11" customFormat="false" ht="15" hidden="false" customHeight="false" outlineLevel="0" collapsed="false">
      <c r="A11" s="11" t="s">
        <v>95</v>
      </c>
      <c r="B11" s="11"/>
      <c r="C11" s="11" t="s">
        <v>96</v>
      </c>
      <c r="D11" s="11"/>
      <c r="E11" s="11"/>
      <c r="H11" s="11" t="s">
        <v>97</v>
      </c>
    </row>
    <row r="12" customFormat="false" ht="15" hidden="false" customHeight="false" outlineLevel="0" collapsed="false">
      <c r="A12" s="7" t="s">
        <v>98</v>
      </c>
      <c r="B12" s="7"/>
      <c r="C12" s="7" t="s">
        <v>99</v>
      </c>
      <c r="D12" s="7"/>
      <c r="E12" s="7"/>
      <c r="H12" s="7" t="s">
        <v>100</v>
      </c>
    </row>
    <row r="14" customFormat="false" ht="15" hidden="false" customHeight="false" outlineLevel="0" collapsed="false">
      <c r="A14" s="3" t="s">
        <v>101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5" t="s">
        <v>102</v>
      </c>
      <c r="B15" s="5"/>
      <c r="C15" s="4" t="s">
        <v>103</v>
      </c>
      <c r="D15" s="4" t="s">
        <v>104</v>
      </c>
      <c r="E15" s="4" t="s">
        <v>105</v>
      </c>
      <c r="F15" s="4" t="s">
        <v>106</v>
      </c>
      <c r="G15" s="4" t="s">
        <v>107</v>
      </c>
      <c r="H15" s="5" t="s">
        <v>108</v>
      </c>
    </row>
    <row r="16" customFormat="false" ht="15" hidden="false" customHeight="false" outlineLevel="0" collapsed="false">
      <c r="A16" s="23" t="s">
        <v>109</v>
      </c>
      <c r="B16" s="23"/>
      <c r="C16" s="10" t="s">
        <v>30</v>
      </c>
      <c r="D16" s="10" t="s">
        <v>110</v>
      </c>
      <c r="E16" s="10" t="s">
        <v>111</v>
      </c>
      <c r="F16" s="10" t="s">
        <v>112</v>
      </c>
      <c r="G16" s="10" t="s">
        <v>113</v>
      </c>
      <c r="H16" s="11" t="s">
        <v>114</v>
      </c>
    </row>
    <row r="17" customFormat="false" ht="15" hidden="false" customHeight="false" outlineLevel="0" collapsed="false">
      <c r="A17" s="24" t="s">
        <v>115</v>
      </c>
      <c r="B17" s="24"/>
      <c r="C17" s="25" t="s">
        <v>116</v>
      </c>
      <c r="D17" s="25" t="s">
        <v>117</v>
      </c>
      <c r="E17" s="25" t="s">
        <v>118</v>
      </c>
      <c r="F17" s="25" t="s">
        <v>119</v>
      </c>
      <c r="G17" s="25" t="s">
        <v>120</v>
      </c>
      <c r="H17" s="14" t="s">
        <v>121</v>
      </c>
    </row>
    <row r="18" customFormat="false" ht="15" hidden="false" customHeight="false" outlineLevel="0" collapsed="false">
      <c r="A18" s="26" t="s">
        <v>122</v>
      </c>
      <c r="B18" s="26"/>
      <c r="C18" s="27" t="s">
        <v>123</v>
      </c>
      <c r="D18" s="27" t="s">
        <v>124</v>
      </c>
      <c r="E18" s="27" t="s">
        <v>125</v>
      </c>
      <c r="F18" s="27" t="s">
        <v>126</v>
      </c>
      <c r="G18" s="27" t="s">
        <v>127</v>
      </c>
      <c r="H18" s="9" t="s">
        <v>128</v>
      </c>
    </row>
    <row r="20" customFormat="false" ht="19.5" hidden="false" customHeight="true" outlineLevel="0" collapsed="false">
      <c r="A20" s="28" t="s">
        <v>129</v>
      </c>
      <c r="B20" s="28"/>
      <c r="C20" s="28"/>
      <c r="D20" s="28"/>
      <c r="E20" s="28"/>
      <c r="F20" s="28"/>
      <c r="G20" s="28"/>
      <c r="H20" s="28"/>
    </row>
    <row r="21" customFormat="false" ht="19.5" hidden="false" customHeight="true" outlineLevel="0" collapsed="false">
      <c r="A21" s="28" t="s">
        <v>130</v>
      </c>
      <c r="B21" s="28"/>
      <c r="C21" s="28"/>
      <c r="D21" s="28"/>
      <c r="E21" s="28"/>
      <c r="F21" s="28"/>
      <c r="G21" s="28"/>
      <c r="H21" s="28"/>
    </row>
    <row r="22" customFormat="false" ht="19.5" hidden="false" customHeight="true" outlineLevel="0" collapsed="false">
      <c r="A22" s="28" t="s">
        <v>131</v>
      </c>
      <c r="B22" s="28"/>
      <c r="C22" s="28"/>
      <c r="D22" s="28"/>
      <c r="E22" s="28"/>
      <c r="F22" s="28"/>
      <c r="G22" s="28"/>
      <c r="H22" s="28"/>
    </row>
    <row r="24" customFormat="false" ht="15" hidden="false" customHeight="false" outlineLevel="0" collapsed="false">
      <c r="A24" s="3" t="s">
        <v>132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5" t="s">
        <v>53</v>
      </c>
      <c r="B25" s="5"/>
      <c r="C25" s="4" t="s">
        <v>133</v>
      </c>
      <c r="D25" s="4" t="s">
        <v>134</v>
      </c>
      <c r="E25" s="4" t="s">
        <v>135</v>
      </c>
      <c r="F25" s="4" t="s">
        <v>136</v>
      </c>
      <c r="G25" s="4" t="s">
        <v>137</v>
      </c>
      <c r="H25" s="4" t="s">
        <v>138</v>
      </c>
      <c r="I25" s="4" t="s">
        <v>139</v>
      </c>
      <c r="J25" s="4" t="s">
        <v>140</v>
      </c>
      <c r="K25" s="4" t="s">
        <v>141</v>
      </c>
      <c r="L25" s="4" t="s">
        <v>142</v>
      </c>
      <c r="M25" s="4" t="s">
        <v>143</v>
      </c>
      <c r="N25" s="4" t="s">
        <v>144</v>
      </c>
      <c r="O25" s="4" t="s">
        <v>145</v>
      </c>
    </row>
    <row r="26" customFormat="false" ht="15" hidden="false" customHeight="false" outlineLevel="0" collapsed="false">
      <c r="A26" s="7" t="s">
        <v>146</v>
      </c>
      <c r="B26" s="7"/>
      <c r="C26" s="29" t="n">
        <v>2000</v>
      </c>
      <c r="D26" s="29" t="n">
        <v>2500</v>
      </c>
      <c r="E26" s="29" t="n">
        <v>3500</v>
      </c>
      <c r="F26" s="29" t="n">
        <v>3500</v>
      </c>
      <c r="G26" s="29" t="n">
        <v>3500</v>
      </c>
      <c r="H26" s="29" t="n">
        <v>3500</v>
      </c>
      <c r="I26" s="29" t="n">
        <v>3000</v>
      </c>
      <c r="J26" s="29" t="n">
        <v>3000</v>
      </c>
      <c r="K26" s="29" t="n">
        <v>3000</v>
      </c>
      <c r="L26" s="29" t="n">
        <v>3000</v>
      </c>
      <c r="M26" s="29" t="n">
        <v>2800</v>
      </c>
      <c r="N26" s="29" t="n">
        <v>2800</v>
      </c>
      <c r="O26" s="29" t="n">
        <v>36100</v>
      </c>
    </row>
    <row r="27" customFormat="false" ht="15" hidden="false" customHeight="false" outlineLevel="0" collapsed="false">
      <c r="A27" s="11" t="s">
        <v>147</v>
      </c>
      <c r="B27" s="11"/>
      <c r="C27" s="30" t="n">
        <v>1.25</v>
      </c>
      <c r="D27" s="30" t="n">
        <v>1.25</v>
      </c>
      <c r="E27" s="30" t="n">
        <v>1.25</v>
      </c>
      <c r="F27" s="30" t="n">
        <v>1.25</v>
      </c>
      <c r="G27" s="30" t="n">
        <v>1.25</v>
      </c>
      <c r="H27" s="30" t="n">
        <v>1.25</v>
      </c>
      <c r="I27" s="30" t="n">
        <v>1.25</v>
      </c>
      <c r="J27" s="30" t="n">
        <v>1.25</v>
      </c>
      <c r="K27" s="30" t="n">
        <v>1.25</v>
      </c>
      <c r="L27" s="30" t="n">
        <v>1.25</v>
      </c>
      <c r="M27" s="30" t="n">
        <v>1.25</v>
      </c>
      <c r="N27" s="30" t="n">
        <v>1.25</v>
      </c>
      <c r="O27" s="30" t="s">
        <v>148</v>
      </c>
    </row>
    <row r="28" customFormat="false" ht="15" hidden="false" customHeight="false" outlineLevel="0" collapsed="false">
      <c r="A28" s="7" t="s">
        <v>149</v>
      </c>
      <c r="B28" s="7"/>
      <c r="C28" s="29" t="n">
        <v>2500</v>
      </c>
      <c r="D28" s="29" t="n">
        <v>3125</v>
      </c>
      <c r="E28" s="29" t="n">
        <v>4375</v>
      </c>
      <c r="F28" s="29" t="n">
        <v>4375</v>
      </c>
      <c r="G28" s="29" t="n">
        <v>4375</v>
      </c>
      <c r="H28" s="29" t="n">
        <v>4375</v>
      </c>
      <c r="I28" s="29" t="n">
        <v>3750</v>
      </c>
      <c r="J28" s="29" t="n">
        <v>3750</v>
      </c>
      <c r="K28" s="29" t="n">
        <v>3750</v>
      </c>
      <c r="L28" s="29" t="n">
        <v>3750</v>
      </c>
      <c r="M28" s="29" t="n">
        <v>3500</v>
      </c>
      <c r="N28" s="29" t="n">
        <v>3500</v>
      </c>
      <c r="O28" s="29" t="n">
        <v>45125</v>
      </c>
    </row>
    <row r="29" customFormat="false" ht="15" hidden="false" customHeight="false" outlineLevel="0" collapsed="false">
      <c r="A29" s="23" t="s">
        <v>150</v>
      </c>
      <c r="B29" s="23"/>
      <c r="C29" s="31" t="n">
        <v>2000</v>
      </c>
      <c r="D29" s="31" t="n">
        <v>4400</v>
      </c>
      <c r="E29" s="31" t="n">
        <v>7680</v>
      </c>
      <c r="F29" s="31" t="n">
        <v>10796</v>
      </c>
      <c r="G29" s="31" t="n">
        <v>13756</v>
      </c>
      <c r="H29" s="31" t="n">
        <v>16568</v>
      </c>
      <c r="I29" s="31" t="n">
        <v>18740</v>
      </c>
      <c r="J29" s="31" t="n">
        <v>20803</v>
      </c>
      <c r="K29" s="31" t="n">
        <v>22763</v>
      </c>
      <c r="L29" s="31" t="n">
        <v>24625</v>
      </c>
      <c r="M29" s="31" t="n">
        <v>26193</v>
      </c>
      <c r="N29" s="31" t="n">
        <v>27684</v>
      </c>
      <c r="O29" s="31" t="n">
        <v>196008</v>
      </c>
    </row>
    <row r="30" customFormat="false" ht="15" hidden="false" customHeight="false" outlineLevel="0" collapsed="false">
      <c r="A30" s="7" t="s">
        <v>151</v>
      </c>
      <c r="B30" s="7"/>
      <c r="C30" s="29" t="n">
        <v>1700</v>
      </c>
      <c r="D30" s="29" t="n">
        <v>3740</v>
      </c>
      <c r="E30" s="29" t="n">
        <v>6528</v>
      </c>
      <c r="F30" s="29" t="n">
        <v>9177</v>
      </c>
      <c r="G30" s="29" t="n">
        <v>11693</v>
      </c>
      <c r="H30" s="29" t="n">
        <v>14083</v>
      </c>
      <c r="I30" s="29" t="n">
        <v>15929</v>
      </c>
      <c r="J30" s="29" t="n">
        <v>17683</v>
      </c>
      <c r="K30" s="29" t="n">
        <v>19349</v>
      </c>
      <c r="L30" s="29" t="n">
        <v>20931</v>
      </c>
      <c r="M30" s="29" t="n">
        <v>22264</v>
      </c>
      <c r="N30" s="29" t="n">
        <v>23531</v>
      </c>
      <c r="O30" s="29" t="n">
        <v>166608</v>
      </c>
    </row>
    <row r="31" customFormat="false" ht="15" hidden="false" customHeight="false" outlineLevel="0" collapsed="false">
      <c r="A31" s="11" t="s">
        <v>152</v>
      </c>
      <c r="B31" s="11"/>
      <c r="C31" s="32" t="n">
        <v>200</v>
      </c>
      <c r="D31" s="32" t="n">
        <v>440</v>
      </c>
      <c r="E31" s="32" t="n">
        <v>768</v>
      </c>
      <c r="F31" s="32" t="n">
        <v>1080</v>
      </c>
      <c r="G31" s="32" t="n">
        <v>1376</v>
      </c>
      <c r="H31" s="32" t="n">
        <v>1657</v>
      </c>
      <c r="I31" s="32" t="n">
        <v>1874</v>
      </c>
      <c r="J31" s="32" t="n">
        <v>2080</v>
      </c>
      <c r="K31" s="32" t="n">
        <v>2276</v>
      </c>
      <c r="L31" s="32" t="n">
        <v>2462</v>
      </c>
      <c r="M31" s="32" t="n">
        <v>2619</v>
      </c>
      <c r="N31" s="32" t="n">
        <v>2768</v>
      </c>
      <c r="O31" s="32" t="n">
        <v>19600</v>
      </c>
    </row>
    <row r="32" customFormat="false" ht="15" hidden="false" customHeight="false" outlineLevel="0" collapsed="false">
      <c r="A32" s="7" t="s">
        <v>153</v>
      </c>
      <c r="B32" s="7"/>
      <c r="C32" s="29" t="n">
        <v>100</v>
      </c>
      <c r="D32" s="29" t="n">
        <v>220</v>
      </c>
      <c r="E32" s="29" t="n">
        <v>384</v>
      </c>
      <c r="F32" s="29" t="n">
        <v>540</v>
      </c>
      <c r="G32" s="29" t="n">
        <v>688</v>
      </c>
      <c r="H32" s="29" t="n">
        <v>828</v>
      </c>
      <c r="I32" s="29" t="n">
        <v>937</v>
      </c>
      <c r="J32" s="29" t="n">
        <v>1040</v>
      </c>
      <c r="K32" s="29" t="n">
        <v>1138</v>
      </c>
      <c r="L32" s="29" t="n">
        <v>1231</v>
      </c>
      <c r="M32" s="29" t="n">
        <v>1310</v>
      </c>
      <c r="N32" s="29" t="n">
        <v>1384</v>
      </c>
      <c r="O32" s="29" t="n">
        <v>9800</v>
      </c>
    </row>
    <row r="33" customFormat="false" ht="15" hidden="false" customHeight="false" outlineLevel="0" collapsed="false">
      <c r="A33" s="13" t="s">
        <v>154</v>
      </c>
      <c r="B33" s="13"/>
      <c r="C33" s="21" t="n">
        <v>12000</v>
      </c>
      <c r="D33" s="21" t="n">
        <v>12000</v>
      </c>
      <c r="E33" s="21" t="n">
        <v>12000</v>
      </c>
      <c r="F33" s="21" t="n">
        <v>8000</v>
      </c>
      <c r="G33" s="21" t="n">
        <v>8000</v>
      </c>
      <c r="H33" s="21" t="n">
        <v>8000</v>
      </c>
      <c r="I33" s="21" t="n">
        <v>5000</v>
      </c>
      <c r="J33" s="21" t="n">
        <v>5000</v>
      </c>
      <c r="K33" s="21" t="n">
        <v>5000</v>
      </c>
      <c r="L33" s="21" t="n">
        <v>5000</v>
      </c>
      <c r="M33" s="21" t="n">
        <v>5000</v>
      </c>
      <c r="N33" s="21" t="n">
        <v>5000</v>
      </c>
      <c r="O33" s="21" t="n">
        <v>90000</v>
      </c>
    </row>
    <row r="34" customFormat="false" ht="15" hidden="false" customHeight="false" outlineLevel="0" collapsed="false">
      <c r="A34" s="33" t="s">
        <v>155</v>
      </c>
      <c r="B34" s="33"/>
      <c r="C34" s="34" t="n">
        <v>6</v>
      </c>
      <c r="D34" s="34" t="n">
        <v>4.8</v>
      </c>
      <c r="E34" s="34" t="n">
        <v>3.43</v>
      </c>
      <c r="F34" s="34" t="n">
        <v>2.29</v>
      </c>
      <c r="G34" s="34" t="n">
        <v>2.29</v>
      </c>
      <c r="H34" s="34" t="n">
        <v>2.29</v>
      </c>
      <c r="I34" s="34" t="n">
        <v>1.67</v>
      </c>
      <c r="J34" s="34" t="n">
        <v>1.67</v>
      </c>
      <c r="K34" s="34" t="n">
        <v>1.67</v>
      </c>
      <c r="L34" s="34" t="n">
        <v>1.67</v>
      </c>
      <c r="M34" s="34" t="n">
        <v>1.79</v>
      </c>
      <c r="N34" s="34" t="n">
        <v>1.79</v>
      </c>
      <c r="O34" s="34" t="s">
        <v>148</v>
      </c>
    </row>
    <row r="35" customFormat="false" ht="15" hidden="false" customHeight="false" outlineLevel="0" collapsed="false">
      <c r="A35" s="11" t="s">
        <v>156</v>
      </c>
      <c r="B35" s="11"/>
      <c r="C35" s="17" t="n">
        <v>4.8</v>
      </c>
      <c r="D35" s="17" t="n">
        <v>3.84</v>
      </c>
      <c r="E35" s="17" t="n">
        <v>2.74</v>
      </c>
      <c r="F35" s="17" t="n">
        <v>1.83</v>
      </c>
      <c r="G35" s="17" t="n">
        <v>1.83</v>
      </c>
      <c r="H35" s="17" t="n">
        <v>1.83</v>
      </c>
      <c r="I35" s="17" t="n">
        <v>1.33</v>
      </c>
      <c r="J35" s="17" t="n">
        <v>1.33</v>
      </c>
      <c r="K35" s="17" t="n">
        <v>1.33</v>
      </c>
      <c r="L35" s="17" t="n">
        <v>1.33</v>
      </c>
      <c r="M35" s="17" t="n">
        <v>1.43</v>
      </c>
      <c r="N35" s="17" t="n">
        <v>1.43</v>
      </c>
      <c r="O35" s="17" t="s">
        <v>148</v>
      </c>
    </row>
    <row r="36" customFormat="false" ht="15" hidden="false" customHeight="false" outlineLevel="0" collapsed="false">
      <c r="A36" s="9" t="s">
        <v>157</v>
      </c>
      <c r="B36" s="9"/>
      <c r="C36" s="18" t="n">
        <v>1000</v>
      </c>
      <c r="D36" s="18" t="n">
        <v>2200</v>
      </c>
      <c r="E36" s="18" t="n">
        <v>3840</v>
      </c>
      <c r="F36" s="18" t="n">
        <v>5398</v>
      </c>
      <c r="G36" s="18" t="n">
        <v>6878</v>
      </c>
      <c r="H36" s="18" t="n">
        <v>8284</v>
      </c>
      <c r="I36" s="18" t="n">
        <v>9370</v>
      </c>
      <c r="J36" s="18" t="n">
        <v>10402</v>
      </c>
      <c r="K36" s="18" t="n">
        <v>11382</v>
      </c>
      <c r="L36" s="18" t="n">
        <v>12312</v>
      </c>
      <c r="M36" s="18" t="n">
        <v>13096</v>
      </c>
      <c r="N36" s="18" t="n">
        <v>13842</v>
      </c>
      <c r="O36" s="18" t="n">
        <v>98004</v>
      </c>
    </row>
    <row r="37" customFormat="false" ht="15" hidden="false" customHeight="false" outlineLevel="0" collapsed="false">
      <c r="A37" s="9" t="s">
        <v>158</v>
      </c>
      <c r="B37" s="9"/>
      <c r="C37" s="18" t="n">
        <v>1000</v>
      </c>
      <c r="D37" s="18" t="n">
        <v>2200</v>
      </c>
      <c r="E37" s="18" t="n">
        <v>3840</v>
      </c>
      <c r="F37" s="18" t="n">
        <v>5398</v>
      </c>
      <c r="G37" s="18" t="n">
        <v>6878</v>
      </c>
      <c r="H37" s="18" t="n">
        <v>8284</v>
      </c>
      <c r="I37" s="18" t="n">
        <v>9370</v>
      </c>
      <c r="J37" s="18" t="n">
        <v>10402</v>
      </c>
      <c r="K37" s="18" t="n">
        <v>11382</v>
      </c>
      <c r="L37" s="18" t="n">
        <v>12312</v>
      </c>
      <c r="M37" s="18" t="n">
        <v>13096</v>
      </c>
      <c r="N37" s="18" t="n">
        <v>13842</v>
      </c>
      <c r="O37" s="18" t="n">
        <v>98004</v>
      </c>
    </row>
    <row r="38" customFormat="false" ht="15" hidden="false" customHeight="false" outlineLevel="0" collapsed="false">
      <c r="A38" s="26" t="s">
        <v>159</v>
      </c>
      <c r="B38" s="26"/>
      <c r="C38" s="35" t="n">
        <v>1995</v>
      </c>
      <c r="D38" s="35" t="n">
        <v>4389</v>
      </c>
      <c r="E38" s="35" t="n">
        <v>7661</v>
      </c>
      <c r="F38" s="35" t="n">
        <v>10769</v>
      </c>
      <c r="G38" s="35" t="n">
        <v>13722</v>
      </c>
      <c r="H38" s="35" t="n">
        <v>16527</v>
      </c>
      <c r="I38" s="35" t="n">
        <v>18693</v>
      </c>
      <c r="J38" s="35" t="n">
        <v>20751</v>
      </c>
      <c r="K38" s="35" t="n">
        <v>22706</v>
      </c>
      <c r="L38" s="35" t="n">
        <v>24563</v>
      </c>
      <c r="M38" s="35" t="n">
        <v>26128</v>
      </c>
      <c r="N38" s="35" t="n">
        <v>27615</v>
      </c>
      <c r="O38" s="35" t="n">
        <v>195519</v>
      </c>
    </row>
    <row r="41" customFormat="false" ht="15" hidden="false" customHeight="false" outlineLevel="0" collapsed="false">
      <c r="A41" s="3" t="s">
        <v>160</v>
      </c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5" t="s">
        <v>161</v>
      </c>
      <c r="B42" s="5"/>
      <c r="C42" s="4" t="s">
        <v>162</v>
      </c>
      <c r="D42" s="4" t="s">
        <v>163</v>
      </c>
      <c r="E42" s="4" t="s">
        <v>164</v>
      </c>
      <c r="F42" s="5" t="s">
        <v>165</v>
      </c>
    </row>
    <row r="43" customFormat="false" ht="15" hidden="false" customHeight="false" outlineLevel="0" collapsed="false">
      <c r="A43" s="11" t="s">
        <v>166</v>
      </c>
      <c r="B43" s="11"/>
      <c r="C43" s="36" t="n">
        <v>16568</v>
      </c>
      <c r="D43" s="36" t="n">
        <v>22763</v>
      </c>
      <c r="E43" s="36" t="n">
        <v>27684</v>
      </c>
      <c r="F43" s="11" t="s">
        <v>167</v>
      </c>
    </row>
    <row r="44" customFormat="false" ht="15" hidden="false" customHeight="false" outlineLevel="0" collapsed="false">
      <c r="A44" s="7" t="s">
        <v>168</v>
      </c>
      <c r="B44" s="7"/>
      <c r="C44" s="37" t="n">
        <v>8.5</v>
      </c>
      <c r="D44" s="37" t="n">
        <v>8.5</v>
      </c>
      <c r="E44" s="37" t="n">
        <v>8.5</v>
      </c>
      <c r="F44" s="7" t="s">
        <v>169</v>
      </c>
    </row>
    <row r="45" customFormat="false" ht="15" hidden="false" customHeight="false" outlineLevel="0" collapsed="false">
      <c r="A45" s="11" t="s">
        <v>170</v>
      </c>
      <c r="B45" s="11"/>
      <c r="C45" s="36" t="n">
        <v>140828</v>
      </c>
      <c r="D45" s="36" t="n">
        <v>193486</v>
      </c>
      <c r="E45" s="36" t="n">
        <v>235314</v>
      </c>
      <c r="F45" s="11" t="s">
        <v>171</v>
      </c>
    </row>
    <row r="46" customFormat="false" ht="15" hidden="false" customHeight="false" outlineLevel="0" collapsed="false">
      <c r="A46" s="7" t="s">
        <v>172</v>
      </c>
      <c r="B46" s="7"/>
      <c r="C46" s="37" t="n">
        <v>119106</v>
      </c>
      <c r="D46" s="37" t="n">
        <v>203112</v>
      </c>
      <c r="E46" s="37" t="n">
        <v>346086</v>
      </c>
      <c r="F46" s="7" t="s">
        <v>173</v>
      </c>
    </row>
    <row r="47" customFormat="false" ht="15" hidden="false" customHeight="false" outlineLevel="0" collapsed="false">
      <c r="A47" s="11" t="s">
        <v>174</v>
      </c>
      <c r="B47" s="11"/>
      <c r="C47" s="10" t="s">
        <v>175</v>
      </c>
      <c r="D47" s="10" t="s">
        <v>176</v>
      </c>
      <c r="E47" s="10" t="s">
        <v>177</v>
      </c>
      <c r="F47" s="11" t="s">
        <v>178</v>
      </c>
    </row>
    <row r="49" customFormat="false" ht="18" hidden="false" customHeight="true" outlineLevel="0" collapsed="false">
      <c r="A49" s="38" t="s">
        <v>179</v>
      </c>
      <c r="B49" s="38"/>
      <c r="C49" s="38"/>
      <c r="D49" s="38"/>
      <c r="E49" s="38"/>
      <c r="F49" s="38"/>
      <c r="G49" s="38"/>
      <c r="H49" s="38"/>
    </row>
    <row r="50" customFormat="false" ht="18" hidden="false" customHeight="true" outlineLevel="0" collapsed="false">
      <c r="A50" s="39" t="s">
        <v>180</v>
      </c>
      <c r="B50" s="39"/>
      <c r="C50" s="39"/>
      <c r="D50" s="39"/>
      <c r="E50" s="39"/>
      <c r="F50" s="39"/>
      <c r="G50" s="39"/>
      <c r="H50" s="39"/>
    </row>
    <row r="51" customFormat="false" ht="18" hidden="false" customHeight="true" outlineLevel="0" collapsed="false">
      <c r="A51" s="39" t="s">
        <v>181</v>
      </c>
      <c r="B51" s="39"/>
      <c r="C51" s="39"/>
      <c r="D51" s="39"/>
      <c r="E51" s="39"/>
      <c r="F51" s="39"/>
      <c r="G51" s="39"/>
      <c r="H51" s="39"/>
    </row>
    <row r="53" customFormat="false" ht="15" hidden="false" customHeight="false" outlineLevel="0" collapsed="false">
      <c r="A53" s="3" t="s">
        <v>182</v>
      </c>
      <c r="B53" s="3"/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5" t="s">
        <v>53</v>
      </c>
      <c r="B54" s="5"/>
      <c r="C54" s="15" t="s">
        <v>183</v>
      </c>
      <c r="D54" s="15" t="s">
        <v>184</v>
      </c>
      <c r="E54" s="15" t="s">
        <v>185</v>
      </c>
      <c r="F54" s="5" t="s">
        <v>186</v>
      </c>
      <c r="G54" s="5" t="s">
        <v>187</v>
      </c>
    </row>
    <row r="55" customFormat="false" ht="15" hidden="false" customHeight="false" outlineLevel="0" collapsed="false">
      <c r="A55" s="11" t="s">
        <v>188</v>
      </c>
      <c r="B55" s="11"/>
      <c r="C55" s="17" t="n">
        <v>50000</v>
      </c>
      <c r="D55" s="17" t="n">
        <v>7500</v>
      </c>
      <c r="E55" s="17" t="n">
        <v>2500</v>
      </c>
      <c r="F55" s="10" t="s">
        <v>189</v>
      </c>
      <c r="G55" s="11" t="s">
        <v>190</v>
      </c>
    </row>
    <row r="56" customFormat="false" ht="15" hidden="false" customHeight="false" outlineLevel="0" collapsed="false">
      <c r="A56" s="7" t="s">
        <v>191</v>
      </c>
      <c r="B56" s="7"/>
      <c r="C56" s="16" t="n">
        <v>40000</v>
      </c>
      <c r="D56" s="16" t="n">
        <v>6000</v>
      </c>
      <c r="E56" s="16" t="n">
        <v>2000</v>
      </c>
      <c r="F56" s="6" t="s">
        <v>189</v>
      </c>
      <c r="G56" s="7" t="s">
        <v>192</v>
      </c>
    </row>
    <row r="57" customFormat="false" ht="15" hidden="false" customHeight="false" outlineLevel="0" collapsed="false">
      <c r="A57" s="11" t="s">
        <v>193</v>
      </c>
      <c r="B57" s="11"/>
      <c r="C57" s="17" t="n">
        <v>80000</v>
      </c>
      <c r="D57" s="17" t="n">
        <v>12000</v>
      </c>
      <c r="E57" s="17" t="n">
        <v>4000</v>
      </c>
      <c r="F57" s="10" t="s">
        <v>194</v>
      </c>
      <c r="G57" s="11" t="s">
        <v>195</v>
      </c>
    </row>
    <row r="58" customFormat="false" ht="15" hidden="false" customHeight="false" outlineLevel="0" collapsed="false">
      <c r="A58" s="7" t="s">
        <v>196</v>
      </c>
      <c r="B58" s="7"/>
      <c r="C58" s="16" t="n">
        <v>50000</v>
      </c>
      <c r="D58" s="16" t="n">
        <v>7500</v>
      </c>
      <c r="E58" s="16" t="n">
        <v>2500</v>
      </c>
      <c r="F58" s="6" t="s">
        <v>197</v>
      </c>
      <c r="G58" s="7" t="s">
        <v>198</v>
      </c>
    </row>
    <row r="59" customFormat="false" ht="15" hidden="false" customHeight="false" outlineLevel="0" collapsed="false">
      <c r="A59" s="11" t="s">
        <v>199</v>
      </c>
      <c r="B59" s="11"/>
      <c r="C59" s="17" t="n">
        <v>54000</v>
      </c>
      <c r="D59" s="17" t="n">
        <v>0</v>
      </c>
      <c r="E59" s="17" t="n">
        <v>0</v>
      </c>
      <c r="F59" s="10" t="s">
        <v>200</v>
      </c>
      <c r="G59" s="11" t="s">
        <v>201</v>
      </c>
    </row>
    <row r="60" customFormat="false" ht="15" hidden="false" customHeight="false" outlineLevel="0" collapsed="false">
      <c r="A60" s="7" t="s">
        <v>202</v>
      </c>
      <c r="B60" s="7"/>
      <c r="C60" s="16" t="n">
        <v>83880</v>
      </c>
      <c r="D60" s="16" t="n">
        <v>12582</v>
      </c>
      <c r="E60" s="16" t="n">
        <v>4194</v>
      </c>
      <c r="F60" s="6" t="s">
        <v>203</v>
      </c>
      <c r="G60" s="7" t="s">
        <v>204</v>
      </c>
    </row>
    <row r="61" customFormat="false" ht="15" hidden="false" customHeight="false" outlineLevel="0" collapsed="false">
      <c r="A61" s="24" t="s">
        <v>205</v>
      </c>
      <c r="B61" s="24"/>
      <c r="C61" s="40" t="n">
        <v>357880</v>
      </c>
      <c r="D61" s="40" t="n">
        <v>45582</v>
      </c>
      <c r="E61" s="40" t="n">
        <v>15194</v>
      </c>
      <c r="F61" s="25" t="s">
        <v>148</v>
      </c>
      <c r="G61" s="14" t="s">
        <v>206</v>
      </c>
    </row>
    <row r="63" customFormat="false" ht="21.75" hidden="false" customHeight="true" outlineLevel="0" collapsed="false">
      <c r="A63" s="41" t="s">
        <v>207</v>
      </c>
      <c r="B63" s="41"/>
      <c r="C63" s="41"/>
      <c r="D63" s="41"/>
      <c r="E63" s="41"/>
      <c r="F63" s="41"/>
      <c r="G63" s="41"/>
      <c r="H63" s="41"/>
    </row>
    <row r="65" customFormat="false" ht="15" hidden="false" customHeight="false" outlineLevel="0" collapsed="false">
      <c r="A65" s="3" t="s">
        <v>208</v>
      </c>
      <c r="B65" s="3"/>
      <c r="C65" s="3"/>
      <c r="D65" s="3"/>
      <c r="E65" s="3"/>
      <c r="F65" s="3"/>
      <c r="G65" s="3"/>
      <c r="H65" s="3"/>
    </row>
    <row r="66" customFormat="false" ht="15" hidden="false" customHeight="false" outlineLevel="0" collapsed="false">
      <c r="A66" s="5" t="s">
        <v>209</v>
      </c>
      <c r="B66" s="5"/>
      <c r="C66" s="4" t="s">
        <v>210</v>
      </c>
      <c r="D66" s="4" t="s">
        <v>211</v>
      </c>
      <c r="E66" s="5" t="s">
        <v>212</v>
      </c>
    </row>
    <row r="67" customFormat="false" ht="15" hidden="false" customHeight="false" outlineLevel="0" collapsed="false">
      <c r="A67" s="23" t="s">
        <v>213</v>
      </c>
      <c r="B67" s="23"/>
      <c r="C67" s="42" t="s">
        <v>214</v>
      </c>
      <c r="D67" s="27" t="s">
        <v>215</v>
      </c>
      <c r="E67" s="11" t="s">
        <v>216</v>
      </c>
    </row>
    <row r="68" customFormat="false" ht="15" hidden="false" customHeight="false" outlineLevel="0" collapsed="false">
      <c r="A68" s="33" t="s">
        <v>217</v>
      </c>
      <c r="B68" s="33"/>
      <c r="C68" s="42" t="s">
        <v>218</v>
      </c>
      <c r="D68" s="27" t="s">
        <v>219</v>
      </c>
      <c r="E68" s="7" t="s">
        <v>220</v>
      </c>
    </row>
    <row r="69" customFormat="false" ht="15" hidden="false" customHeight="false" outlineLevel="0" collapsed="false">
      <c r="A69" s="23" t="s">
        <v>221</v>
      </c>
      <c r="B69" s="23"/>
      <c r="C69" s="42" t="s">
        <v>222</v>
      </c>
      <c r="D69" s="27" t="s">
        <v>223</v>
      </c>
      <c r="E69" s="11" t="s">
        <v>224</v>
      </c>
    </row>
    <row r="70" customFormat="false" ht="15" hidden="false" customHeight="false" outlineLevel="0" collapsed="false">
      <c r="A70" s="33" t="s">
        <v>225</v>
      </c>
      <c r="B70" s="33"/>
      <c r="C70" s="42" t="s">
        <v>226</v>
      </c>
      <c r="D70" s="27" t="s">
        <v>227</v>
      </c>
      <c r="E70" s="7" t="s">
        <v>228</v>
      </c>
    </row>
    <row r="71" customFormat="false" ht="15" hidden="false" customHeight="false" outlineLevel="0" collapsed="false">
      <c r="A71" s="23" t="s">
        <v>229</v>
      </c>
      <c r="B71" s="23"/>
      <c r="C71" s="42" t="s">
        <v>230</v>
      </c>
      <c r="D71" s="27" t="s">
        <v>231</v>
      </c>
      <c r="E71" s="11" t="s">
        <v>232</v>
      </c>
    </row>
    <row r="72" customFormat="false" ht="15" hidden="false" customHeight="false" outlineLevel="0" collapsed="false">
      <c r="A72" s="33" t="s">
        <v>233</v>
      </c>
      <c r="B72" s="33"/>
      <c r="C72" s="42" t="s">
        <v>234</v>
      </c>
      <c r="D72" s="27" t="s">
        <v>235</v>
      </c>
      <c r="E72" s="7" t="s">
        <v>236</v>
      </c>
    </row>
    <row r="73" customFormat="false" ht="15" hidden="false" customHeight="false" outlineLevel="0" collapsed="false">
      <c r="A73" s="23" t="s">
        <v>237</v>
      </c>
      <c r="B73" s="23"/>
      <c r="C73" s="42" t="s">
        <v>238</v>
      </c>
      <c r="D73" s="27" t="s">
        <v>239</v>
      </c>
      <c r="E73" s="11" t="s">
        <v>240</v>
      </c>
    </row>
    <row r="74" customFormat="false" ht="15" hidden="false" customHeight="false" outlineLevel="0" collapsed="false">
      <c r="A74" s="33" t="s">
        <v>241</v>
      </c>
      <c r="B74" s="33"/>
      <c r="C74" s="42" t="s">
        <v>242</v>
      </c>
      <c r="D74" s="27" t="s">
        <v>243</v>
      </c>
      <c r="E74" s="7" t="s">
        <v>244</v>
      </c>
    </row>
    <row r="75" customFormat="false" ht="15" hidden="false" customHeight="false" outlineLevel="0" collapsed="false">
      <c r="A75" s="23" t="s">
        <v>245</v>
      </c>
      <c r="B75" s="23"/>
      <c r="C75" s="42" t="s">
        <v>35</v>
      </c>
      <c r="D75" s="27" t="s">
        <v>246</v>
      </c>
      <c r="E75" s="11" t="s">
        <v>247</v>
      </c>
    </row>
    <row r="76" customFormat="false" ht="15" hidden="false" customHeight="false" outlineLevel="0" collapsed="false">
      <c r="A76" s="33" t="s">
        <v>248</v>
      </c>
      <c r="B76" s="33"/>
      <c r="C76" s="42" t="s">
        <v>249</v>
      </c>
      <c r="D76" s="27" t="s">
        <v>250</v>
      </c>
      <c r="E76" s="7" t="s">
        <v>251</v>
      </c>
    </row>
  </sheetData>
  <mergeCells count="74">
    <mergeCell ref="A1:O1"/>
    <mergeCell ref="A2:O2"/>
    <mergeCell ref="A4:H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4:H14"/>
    <mergeCell ref="A15:B15"/>
    <mergeCell ref="A16:B16"/>
    <mergeCell ref="A17:B17"/>
    <mergeCell ref="A18:B18"/>
    <mergeCell ref="A20:H20"/>
    <mergeCell ref="A21:H21"/>
    <mergeCell ref="A22:H22"/>
    <mergeCell ref="A24:O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1:H41"/>
    <mergeCell ref="A42:B42"/>
    <mergeCell ref="A43:B43"/>
    <mergeCell ref="A44:B44"/>
    <mergeCell ref="A45:B45"/>
    <mergeCell ref="A46:B46"/>
    <mergeCell ref="A47:B47"/>
    <mergeCell ref="A49:H49"/>
    <mergeCell ref="A50:H50"/>
    <mergeCell ref="A51:H51"/>
    <mergeCell ref="A53:H53"/>
    <mergeCell ref="A54:B54"/>
    <mergeCell ref="A55:B55"/>
    <mergeCell ref="A56:B56"/>
    <mergeCell ref="A57:B57"/>
    <mergeCell ref="A58:B58"/>
    <mergeCell ref="A59:B59"/>
    <mergeCell ref="A60:B60"/>
    <mergeCell ref="A61:B61"/>
    <mergeCell ref="A63:H63"/>
    <mergeCell ref="A65:H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86" colorId="64" zoomScale="100" zoomScaleNormal="100" zoomScalePageLayoutView="100" workbookViewId="0">
      <selection pane="topLeft" activeCell="F34" activeCellId="0" sqref="F34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3.33"/>
    <col collapsed="false" customWidth="true" hidden="false" outlineLevel="0" max="3" min="2" style="0" width="23.33"/>
    <col collapsed="false" customWidth="true" hidden="false" outlineLevel="0" max="4" min="4" style="0" width="53.33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46.67"/>
  </cols>
  <sheetData>
    <row r="1" customFormat="false" ht="18.75" hidden="false" customHeight="true" outlineLevel="0" collapsed="false">
      <c r="A1" s="43" t="s">
        <v>252</v>
      </c>
      <c r="B1" s="44"/>
      <c r="C1" s="44"/>
      <c r="D1" s="44"/>
      <c r="E1" s="44"/>
      <c r="F1" s="44"/>
      <c r="G1" s="44"/>
    </row>
    <row r="2" customFormat="false" ht="15.75" hidden="false" customHeight="false" outlineLevel="0" collapsed="false">
      <c r="A2" s="45" t="s">
        <v>253</v>
      </c>
      <c r="B2" s="46"/>
      <c r="C2" s="46"/>
      <c r="D2" s="46"/>
      <c r="E2" s="46"/>
      <c r="F2" s="46"/>
      <c r="G2" s="46"/>
    </row>
    <row r="4" customFormat="false" ht="15.75" hidden="false" customHeight="false" outlineLevel="0" collapsed="false">
      <c r="A4" s="45" t="s">
        <v>254</v>
      </c>
      <c r="B4" s="46"/>
      <c r="C4" s="46"/>
      <c r="D4" s="46"/>
    </row>
    <row r="5" customFormat="false" ht="15.75" hidden="false" customHeight="false" outlineLevel="0" collapsed="false">
      <c r="A5" s="47" t="s">
        <v>161</v>
      </c>
      <c r="B5" s="48" t="s">
        <v>255</v>
      </c>
      <c r="C5" s="48" t="s">
        <v>256</v>
      </c>
      <c r="D5" s="47" t="s">
        <v>257</v>
      </c>
    </row>
    <row r="6" customFormat="false" ht="15.75" hidden="false" customHeight="false" outlineLevel="0" collapsed="false">
      <c r="A6" s="49" t="s">
        <v>258</v>
      </c>
      <c r="B6" s="50" t="s">
        <v>259</v>
      </c>
      <c r="C6" s="51" t="s">
        <v>148</v>
      </c>
      <c r="D6" s="49" t="s">
        <v>260</v>
      </c>
    </row>
    <row r="7" customFormat="false" ht="15.75" hidden="false" customHeight="false" outlineLevel="0" collapsed="false">
      <c r="A7" s="49" t="s">
        <v>261</v>
      </c>
      <c r="B7" s="50" t="s">
        <v>262</v>
      </c>
      <c r="C7" s="51" t="s">
        <v>148</v>
      </c>
      <c r="D7" s="49" t="s">
        <v>263</v>
      </c>
    </row>
    <row r="8" customFormat="false" ht="15.75" hidden="false" customHeight="false" outlineLevel="0" collapsed="false">
      <c r="A8" s="49" t="s">
        <v>264</v>
      </c>
      <c r="B8" s="50" t="n">
        <v>2.5</v>
      </c>
      <c r="C8" s="51" t="s">
        <v>265</v>
      </c>
      <c r="D8" s="49" t="s">
        <v>266</v>
      </c>
    </row>
    <row r="9" customFormat="false" ht="15.75" hidden="false" customHeight="false" outlineLevel="0" collapsed="false">
      <c r="A9" s="49" t="s">
        <v>267</v>
      </c>
      <c r="B9" s="50" t="n">
        <v>9</v>
      </c>
      <c r="C9" s="51" t="s">
        <v>268</v>
      </c>
      <c r="D9" s="49" t="s">
        <v>269</v>
      </c>
    </row>
    <row r="10" customFormat="false" ht="15.75" hidden="false" customHeight="false" outlineLevel="0" collapsed="false">
      <c r="A10" s="49" t="s">
        <v>270</v>
      </c>
      <c r="B10" s="50" t="n">
        <v>26</v>
      </c>
      <c r="C10" s="51" t="s">
        <v>271</v>
      </c>
      <c r="D10" s="49" t="s">
        <v>272</v>
      </c>
    </row>
    <row r="11" customFormat="false" ht="15.75" hidden="false" customHeight="false" outlineLevel="0" collapsed="false">
      <c r="A11" s="52" t="s">
        <v>273</v>
      </c>
      <c r="B11" s="53" t="n">
        <f aca="false">B8*B9*B10</f>
        <v>585</v>
      </c>
      <c r="C11" s="51" t="s">
        <v>274</v>
      </c>
      <c r="D11" s="49" t="s">
        <v>275</v>
      </c>
    </row>
    <row r="12" customFormat="false" ht="15.75" hidden="false" customHeight="false" outlineLevel="0" collapsed="false">
      <c r="A12" s="49" t="s">
        <v>276</v>
      </c>
      <c r="B12" s="54" t="n">
        <v>0.65</v>
      </c>
      <c r="C12" s="51" t="s">
        <v>277</v>
      </c>
      <c r="D12" s="49" t="s">
        <v>278</v>
      </c>
    </row>
    <row r="13" customFormat="false" ht="15.75" hidden="false" customHeight="false" outlineLevel="0" collapsed="false">
      <c r="A13" s="49" t="s">
        <v>279</v>
      </c>
      <c r="B13" s="55" t="n">
        <f aca="false">1-B12</f>
        <v>0.35</v>
      </c>
      <c r="C13" s="51" t="s">
        <v>277</v>
      </c>
      <c r="D13" s="49" t="s">
        <v>280</v>
      </c>
    </row>
    <row r="14" customFormat="false" ht="15.75" hidden="false" customHeight="false" outlineLevel="0" collapsed="false">
      <c r="A14" s="49" t="s">
        <v>281</v>
      </c>
      <c r="B14" s="56" t="n">
        <v>0.03</v>
      </c>
      <c r="C14" s="51" t="s">
        <v>277</v>
      </c>
      <c r="D14" s="49" t="s">
        <v>282</v>
      </c>
    </row>
    <row r="15" customFormat="false" ht="15.75" hidden="false" customHeight="false" outlineLevel="0" collapsed="false">
      <c r="A15" s="49" t="s">
        <v>283</v>
      </c>
      <c r="B15" s="50" t="n">
        <v>1.41</v>
      </c>
      <c r="C15" s="51" t="s">
        <v>284</v>
      </c>
      <c r="D15" s="49" t="s">
        <v>285</v>
      </c>
    </row>
    <row r="17" customFormat="false" ht="15.75" hidden="false" customHeight="false" outlineLevel="0" collapsed="false">
      <c r="A17" s="45" t="s">
        <v>286</v>
      </c>
      <c r="B17" s="46"/>
      <c r="C17" s="46"/>
      <c r="D17" s="46"/>
    </row>
    <row r="18" customFormat="false" ht="15.75" hidden="false" customHeight="false" outlineLevel="0" collapsed="false">
      <c r="A18" s="47" t="s">
        <v>161</v>
      </c>
      <c r="B18" s="48" t="s">
        <v>255</v>
      </c>
      <c r="C18" s="48" t="s">
        <v>256</v>
      </c>
      <c r="D18" s="47" t="s">
        <v>257</v>
      </c>
    </row>
    <row r="19" customFormat="false" ht="15.75" hidden="false" customHeight="false" outlineLevel="0" collapsed="false">
      <c r="A19" s="49" t="s">
        <v>287</v>
      </c>
      <c r="B19" s="50" t="n">
        <v>200</v>
      </c>
      <c r="C19" s="51" t="s">
        <v>265</v>
      </c>
      <c r="D19" s="49" t="s">
        <v>288</v>
      </c>
    </row>
    <row r="20" customFormat="false" ht="15.75" hidden="false" customHeight="false" outlineLevel="0" collapsed="false">
      <c r="A20" s="49" t="s">
        <v>289</v>
      </c>
      <c r="B20" s="50" t="n">
        <v>120</v>
      </c>
      <c r="C20" s="51" t="s">
        <v>265</v>
      </c>
      <c r="D20" s="49" t="s">
        <v>290</v>
      </c>
    </row>
    <row r="21" customFormat="false" ht="15.75" hidden="false" customHeight="false" outlineLevel="0" collapsed="false">
      <c r="A21" s="49" t="s">
        <v>291</v>
      </c>
      <c r="B21" s="50" t="n">
        <v>30</v>
      </c>
      <c r="C21" s="51" t="s">
        <v>265</v>
      </c>
      <c r="D21" s="49" t="s">
        <v>292</v>
      </c>
    </row>
    <row r="22" customFormat="false" ht="15.75" hidden="false" customHeight="false" outlineLevel="0" collapsed="false">
      <c r="A22" s="52" t="s">
        <v>293</v>
      </c>
      <c r="B22" s="53" t="n">
        <f aca="false">SUM(B19:B21)</f>
        <v>350</v>
      </c>
      <c r="C22" s="51" t="s">
        <v>294</v>
      </c>
      <c r="D22" s="49" t="s">
        <v>295</v>
      </c>
    </row>
    <row r="23" customFormat="false" ht="15.75" hidden="false" customHeight="false" outlineLevel="0" collapsed="false">
      <c r="A23" s="52" t="s">
        <v>296</v>
      </c>
      <c r="B23" s="53" t="n">
        <f aca="false">B11-B22</f>
        <v>235</v>
      </c>
      <c r="C23" s="51" t="s">
        <v>294</v>
      </c>
      <c r="D23" s="49" t="s">
        <v>297</v>
      </c>
    </row>
    <row r="24" customFormat="false" ht="15.75" hidden="false" customHeight="false" outlineLevel="0" collapsed="false">
      <c r="A24" s="52" t="s">
        <v>298</v>
      </c>
      <c r="B24" s="53" t="n">
        <f aca="false">B23-B50</f>
        <v>202.75</v>
      </c>
      <c r="C24" s="51" t="s">
        <v>294</v>
      </c>
      <c r="D24" s="49" t="s">
        <v>299</v>
      </c>
    </row>
    <row r="26" customFormat="false" ht="15.75" hidden="false" customHeight="false" outlineLevel="0" collapsed="false">
      <c r="A26" s="45" t="s">
        <v>300</v>
      </c>
      <c r="B26" s="46"/>
      <c r="C26" s="46"/>
      <c r="D26" s="46"/>
    </row>
    <row r="27" customFormat="false" ht="15.75" hidden="false" customHeight="false" outlineLevel="0" collapsed="false">
      <c r="A27" s="47" t="s">
        <v>161</v>
      </c>
      <c r="B27" s="48" t="s">
        <v>255</v>
      </c>
      <c r="C27" s="48" t="s">
        <v>256</v>
      </c>
      <c r="D27" s="47" t="s">
        <v>257</v>
      </c>
    </row>
    <row r="28" customFormat="false" ht="15.75" hidden="false" customHeight="false" outlineLevel="0" collapsed="false">
      <c r="A28" s="49" t="s">
        <v>301</v>
      </c>
      <c r="B28" s="50" t="n">
        <v>250</v>
      </c>
      <c r="C28" s="51" t="s">
        <v>302</v>
      </c>
      <c r="D28" s="49" t="s">
        <v>303</v>
      </c>
    </row>
    <row r="29" customFormat="false" ht="15.75" hidden="false" customHeight="false" outlineLevel="0" collapsed="false">
      <c r="A29" s="49" t="s">
        <v>304</v>
      </c>
      <c r="B29" s="54" t="n">
        <v>0.3</v>
      </c>
      <c r="C29" s="51" t="s">
        <v>305</v>
      </c>
      <c r="D29" s="49" t="s">
        <v>306</v>
      </c>
    </row>
    <row r="30" customFormat="false" ht="15.75" hidden="false" customHeight="false" outlineLevel="0" collapsed="false">
      <c r="A30" s="49" t="s">
        <v>307</v>
      </c>
      <c r="B30" s="57" t="n">
        <v>25000</v>
      </c>
      <c r="C30" s="51" t="s">
        <v>302</v>
      </c>
      <c r="D30" s="49" t="s">
        <v>308</v>
      </c>
    </row>
    <row r="32" customFormat="false" ht="15.75" hidden="false" customHeight="false" outlineLevel="0" collapsed="false">
      <c r="A32" s="45" t="s">
        <v>309</v>
      </c>
      <c r="B32" s="46"/>
      <c r="C32" s="46"/>
      <c r="D32" s="46"/>
      <c r="E32" s="46"/>
      <c r="F32" s="46"/>
    </row>
    <row r="33" customFormat="false" ht="15.75" hidden="false" customHeight="false" outlineLevel="0" collapsed="false">
      <c r="A33" s="47" t="s">
        <v>310</v>
      </c>
      <c r="B33" s="48" t="s">
        <v>311</v>
      </c>
      <c r="C33" s="48" t="s">
        <v>312</v>
      </c>
      <c r="D33" s="48" t="s">
        <v>313</v>
      </c>
      <c r="E33" s="48" t="s">
        <v>314</v>
      </c>
      <c r="F33" s="48" t="s">
        <v>165</v>
      </c>
    </row>
    <row r="34" customFormat="false" ht="15.75" hidden="false" customHeight="false" outlineLevel="0" collapsed="false">
      <c r="A34" s="52" t="s">
        <v>315</v>
      </c>
      <c r="B34" s="51" t="s">
        <v>316</v>
      </c>
      <c r="C34" s="58" t="n">
        <v>0</v>
      </c>
      <c r="D34" s="50" t="s">
        <v>317</v>
      </c>
      <c r="E34" s="54" t="n">
        <v>0.3</v>
      </c>
      <c r="F34" s="49" t="s">
        <v>318</v>
      </c>
    </row>
    <row r="35" customFormat="false" ht="15.75" hidden="false" customHeight="false" outlineLevel="0" collapsed="false">
      <c r="A35" s="52" t="s">
        <v>319</v>
      </c>
      <c r="B35" s="51" t="s">
        <v>316</v>
      </c>
      <c r="C35" s="58" t="n">
        <v>10</v>
      </c>
      <c r="D35" s="50" t="s">
        <v>320</v>
      </c>
      <c r="E35" s="54" t="n">
        <v>0.12</v>
      </c>
      <c r="F35" s="49" t="s">
        <v>321</v>
      </c>
    </row>
    <row r="36" customFormat="false" ht="15.75" hidden="false" customHeight="false" outlineLevel="0" collapsed="false">
      <c r="A36" s="52" t="s">
        <v>322</v>
      </c>
      <c r="B36" s="51" t="s">
        <v>323</v>
      </c>
      <c r="C36" s="51" t="s">
        <v>324</v>
      </c>
      <c r="D36" s="51" t="s">
        <v>325</v>
      </c>
      <c r="E36" s="51" t="s">
        <v>326</v>
      </c>
      <c r="F36" s="51" t="s">
        <v>327</v>
      </c>
    </row>
    <row r="38" customFormat="false" ht="15.75" hidden="false" customHeight="false" outlineLevel="0" collapsed="false">
      <c r="A38" s="45" t="s">
        <v>328</v>
      </c>
      <c r="B38" s="46"/>
      <c r="C38" s="46"/>
    </row>
    <row r="39" customFormat="false" ht="15.75" hidden="false" customHeight="false" outlineLevel="0" collapsed="false">
      <c r="A39" s="47" t="s">
        <v>329</v>
      </c>
      <c r="B39" s="48" t="s">
        <v>330</v>
      </c>
      <c r="C39" s="47" t="s">
        <v>165</v>
      </c>
    </row>
    <row r="40" customFormat="false" ht="15.75" hidden="false" customHeight="false" outlineLevel="0" collapsed="false">
      <c r="A40" s="49" t="s">
        <v>331</v>
      </c>
      <c r="B40" s="54" t="n">
        <v>0.25</v>
      </c>
      <c r="C40" s="49" t="s">
        <v>332</v>
      </c>
      <c r="D40" s="0" t="s">
        <v>333</v>
      </c>
    </row>
    <row r="41" customFormat="false" ht="15.75" hidden="false" customHeight="false" outlineLevel="0" collapsed="false">
      <c r="A41" s="49" t="s">
        <v>334</v>
      </c>
      <c r="B41" s="54" t="n">
        <v>0.12</v>
      </c>
      <c r="C41" s="49" t="s">
        <v>335</v>
      </c>
    </row>
    <row r="42" customFormat="false" ht="15.75" hidden="false" customHeight="false" outlineLevel="0" collapsed="false">
      <c r="A42" s="49" t="s">
        <v>336</v>
      </c>
      <c r="B42" s="56" t="n">
        <v>0.04</v>
      </c>
      <c r="C42" s="49" t="s">
        <v>337</v>
      </c>
    </row>
    <row r="43" customFormat="false" ht="15.75" hidden="false" customHeight="false" outlineLevel="0" collapsed="false">
      <c r="A43" s="49" t="s">
        <v>338</v>
      </c>
      <c r="B43" s="56" t="n">
        <v>0.02</v>
      </c>
      <c r="C43" s="49" t="s">
        <v>339</v>
      </c>
    </row>
    <row r="45" customFormat="false" ht="15.75" hidden="false" customHeight="false" outlineLevel="0" collapsed="false">
      <c r="A45" s="45" t="s">
        <v>340</v>
      </c>
      <c r="B45" s="46"/>
      <c r="C45" s="46"/>
      <c r="D45" s="46"/>
      <c r="E45" s="46"/>
      <c r="F45" s="46"/>
      <c r="G45" s="46"/>
    </row>
    <row r="46" customFormat="false" ht="15.75" hidden="false" customHeight="false" outlineLevel="0" collapsed="false">
      <c r="A46" s="47" t="s">
        <v>341</v>
      </c>
      <c r="B46" s="48" t="s">
        <v>103</v>
      </c>
      <c r="C46" s="48" t="s">
        <v>342</v>
      </c>
      <c r="D46" s="48" t="s">
        <v>343</v>
      </c>
      <c r="E46" s="48" t="s">
        <v>344</v>
      </c>
      <c r="F46" s="48" t="s">
        <v>345</v>
      </c>
      <c r="G46" s="48" t="s">
        <v>346</v>
      </c>
    </row>
    <row r="47" customFormat="false" ht="15.75" hidden="false" customHeight="false" outlineLevel="0" collapsed="false">
      <c r="A47" s="59" t="s">
        <v>347</v>
      </c>
      <c r="B47" s="50" t="n">
        <v>20</v>
      </c>
      <c r="C47" s="51" t="n">
        <f aca="false">B47*$B$15</f>
        <v>28.2</v>
      </c>
      <c r="D47" s="54" t="n">
        <v>0.45</v>
      </c>
      <c r="E47" s="50" t="n">
        <v>6</v>
      </c>
      <c r="F47" s="51" t="n">
        <f aca="false">E47*$B$8*$B$10</f>
        <v>390</v>
      </c>
      <c r="G47" s="49" t="s">
        <v>348</v>
      </c>
    </row>
    <row r="48" customFormat="false" ht="15.75" hidden="false" customHeight="false" outlineLevel="0" collapsed="false">
      <c r="A48" s="59" t="s">
        <v>349</v>
      </c>
      <c r="B48" s="50" t="n">
        <v>35</v>
      </c>
      <c r="C48" s="51" t="n">
        <f aca="false">B48*$B$15</f>
        <v>49.35</v>
      </c>
      <c r="D48" s="54" t="n">
        <v>0.35</v>
      </c>
      <c r="E48" s="50" t="n">
        <v>9</v>
      </c>
      <c r="F48" s="51" t="n">
        <f aca="false">E48*$B$8*$B$10</f>
        <v>585</v>
      </c>
      <c r="G48" s="49" t="s">
        <v>350</v>
      </c>
    </row>
    <row r="49" customFormat="false" ht="15.75" hidden="false" customHeight="false" outlineLevel="0" collapsed="false">
      <c r="A49" s="59" t="s">
        <v>351</v>
      </c>
      <c r="B49" s="50" t="n">
        <v>55</v>
      </c>
      <c r="C49" s="51" t="n">
        <f aca="false">B49*$B$15</f>
        <v>77.55</v>
      </c>
      <c r="D49" s="54" t="n">
        <v>0.2</v>
      </c>
      <c r="E49" s="50" t="n">
        <v>12</v>
      </c>
      <c r="F49" s="51" t="n">
        <f aca="false">E49*$B$8*$B$10</f>
        <v>780</v>
      </c>
      <c r="G49" s="49" t="s">
        <v>352</v>
      </c>
    </row>
    <row r="50" customFormat="false" ht="15.75" hidden="false" customHeight="false" outlineLevel="0" collapsed="false">
      <c r="A50" s="59" t="s">
        <v>353</v>
      </c>
      <c r="B50" s="53" t="n">
        <f aca="false">SUMPRODUCT(B47:B49,D47:D49)</f>
        <v>32.25</v>
      </c>
      <c r="D50" s="52" t="s">
        <v>354</v>
      </c>
      <c r="E50" s="60" t="n">
        <f aca="false">SUM(D47:D49)</f>
        <v>1</v>
      </c>
    </row>
    <row r="51" customFormat="false" ht="15.75" hidden="false" customHeight="false" outlineLevel="0" collapsed="false">
      <c r="A51" s="59" t="s">
        <v>355</v>
      </c>
      <c r="B51" s="53" t="n">
        <f aca="false">B50*B15</f>
        <v>45.4725</v>
      </c>
    </row>
    <row r="53" customFormat="false" ht="15.75" hidden="false" customHeight="false" outlineLevel="0" collapsed="false">
      <c r="A53" s="61" t="s">
        <v>356</v>
      </c>
      <c r="B53" s="46"/>
      <c r="C53" s="46"/>
      <c r="D53" s="46"/>
    </row>
    <row r="54" customFormat="false" ht="15.75" hidden="false" customHeight="false" outlineLevel="0" collapsed="false">
      <c r="A54" s="48" t="s">
        <v>357</v>
      </c>
      <c r="B54" s="48" t="s">
        <v>358</v>
      </c>
      <c r="C54" s="48" t="s">
        <v>359</v>
      </c>
      <c r="D54" s="48" t="s">
        <v>360</v>
      </c>
    </row>
    <row r="55" customFormat="false" ht="15.75" hidden="false" customHeight="false" outlineLevel="0" collapsed="false">
      <c r="A55" s="49" t="s">
        <v>361</v>
      </c>
      <c r="B55" s="50" t="n">
        <v>5</v>
      </c>
      <c r="C55" s="51" t="s">
        <v>362</v>
      </c>
      <c r="D55" s="49" t="s">
        <v>363</v>
      </c>
    </row>
    <row r="56" customFormat="false" ht="15.75" hidden="false" customHeight="false" outlineLevel="0" collapsed="false">
      <c r="A56" s="49" t="s">
        <v>364</v>
      </c>
      <c r="B56" s="50" t="n">
        <v>8</v>
      </c>
      <c r="C56" s="51" t="s">
        <v>365</v>
      </c>
      <c r="D56" s="49" t="s">
        <v>366</v>
      </c>
    </row>
    <row r="57" customFormat="false" ht="15.75" hidden="false" customHeight="false" outlineLevel="0" collapsed="false">
      <c r="A57" s="49" t="s">
        <v>367</v>
      </c>
      <c r="B57" s="50" t="n">
        <v>3</v>
      </c>
      <c r="C57" s="51" t="s">
        <v>368</v>
      </c>
      <c r="D57" s="49" t="s">
        <v>369</v>
      </c>
    </row>
    <row r="58" customFormat="false" ht="15.75" hidden="false" customHeight="false" outlineLevel="0" collapsed="false">
      <c r="A58" s="49" t="s">
        <v>370</v>
      </c>
      <c r="B58" s="50" t="n">
        <v>2</v>
      </c>
      <c r="C58" s="51" t="s">
        <v>365</v>
      </c>
      <c r="D58" s="49" t="s">
        <v>371</v>
      </c>
    </row>
    <row r="59" customFormat="false" ht="15.75" hidden="false" customHeight="false" outlineLevel="0" collapsed="false">
      <c r="A59" s="52" t="s">
        <v>372</v>
      </c>
      <c r="B59" s="53" t="n">
        <f aca="false">B55+(B56*D49)+(B57*(D48+D49))+(B58*D49)</f>
        <v>8.65</v>
      </c>
      <c r="C59" s="51" t="s">
        <v>265</v>
      </c>
      <c r="D59" s="49" t="s">
        <v>373</v>
      </c>
    </row>
    <row r="61" customFormat="false" ht="15.75" hidden="false" customHeight="false" outlineLevel="0" collapsed="false">
      <c r="A61" s="45" t="s">
        <v>374</v>
      </c>
      <c r="B61" s="46"/>
      <c r="C61" s="46"/>
      <c r="D61" s="46"/>
    </row>
    <row r="62" customFormat="false" ht="15.75" hidden="false" customHeight="false" outlineLevel="0" collapsed="false">
      <c r="A62" s="47" t="s">
        <v>375</v>
      </c>
      <c r="B62" s="48" t="s">
        <v>376</v>
      </c>
      <c r="C62" s="48" t="s">
        <v>186</v>
      </c>
      <c r="D62" s="47" t="s">
        <v>165</v>
      </c>
    </row>
    <row r="63" customFormat="false" ht="15.75" hidden="false" customHeight="false" outlineLevel="0" collapsed="false">
      <c r="A63" s="49" t="s">
        <v>377</v>
      </c>
      <c r="B63" s="50" t="n">
        <v>800</v>
      </c>
      <c r="C63" s="51" t="s">
        <v>378</v>
      </c>
      <c r="D63" s="49" t="s">
        <v>379</v>
      </c>
    </row>
    <row r="64" customFormat="false" ht="15.75" hidden="false" customHeight="false" outlineLevel="0" collapsed="false">
      <c r="A64" s="49" t="s">
        <v>380</v>
      </c>
      <c r="B64" s="50" t="n">
        <v>400</v>
      </c>
      <c r="C64" s="51" t="s">
        <v>381</v>
      </c>
      <c r="D64" s="49" t="s">
        <v>382</v>
      </c>
    </row>
    <row r="65" customFormat="false" ht="15.75" hidden="false" customHeight="false" outlineLevel="0" collapsed="false">
      <c r="A65" s="49" t="s">
        <v>383</v>
      </c>
      <c r="B65" s="50" t="n">
        <v>200</v>
      </c>
      <c r="C65" s="51" t="s">
        <v>381</v>
      </c>
      <c r="D65" s="49" t="s">
        <v>384</v>
      </c>
    </row>
    <row r="66" customFormat="false" ht="15.75" hidden="false" customHeight="false" outlineLevel="0" collapsed="false">
      <c r="A66" s="49" t="s">
        <v>385</v>
      </c>
      <c r="B66" s="50" t="n">
        <v>1500</v>
      </c>
      <c r="C66" s="51" t="s">
        <v>378</v>
      </c>
      <c r="D66" s="49" t="s">
        <v>386</v>
      </c>
    </row>
    <row r="67" customFormat="false" ht="15.75" hidden="false" customHeight="false" outlineLevel="0" collapsed="false">
      <c r="A67" s="49" t="s">
        <v>387</v>
      </c>
      <c r="B67" s="50" t="n">
        <v>15</v>
      </c>
      <c r="C67" s="51" t="s">
        <v>388</v>
      </c>
      <c r="D67" s="49" t="s">
        <v>389</v>
      </c>
    </row>
    <row r="68" customFormat="false" ht="15.75" hidden="false" customHeight="false" outlineLevel="0" collapsed="false">
      <c r="A68" s="49" t="s">
        <v>390</v>
      </c>
      <c r="B68" s="50" t="n">
        <v>30</v>
      </c>
      <c r="C68" s="51" t="s">
        <v>391</v>
      </c>
      <c r="D68" s="49" t="s">
        <v>392</v>
      </c>
    </row>
    <row r="69" customFormat="false" ht="15.75" hidden="false" customHeight="false" outlineLevel="0" collapsed="false">
      <c r="A69" s="49" t="s">
        <v>393</v>
      </c>
      <c r="B69" s="50" t="n">
        <v>3000</v>
      </c>
      <c r="C69" s="51" t="s">
        <v>394</v>
      </c>
      <c r="D69" s="49" t="s">
        <v>395</v>
      </c>
    </row>
    <row r="71" customFormat="false" ht="15.75" hidden="false" customHeight="false" outlineLevel="0" collapsed="false">
      <c r="A71" s="45" t="s">
        <v>396</v>
      </c>
      <c r="B71" s="46"/>
      <c r="C71" s="46"/>
    </row>
    <row r="72" customFormat="false" ht="15.75" hidden="false" customHeight="false" outlineLevel="0" collapsed="false">
      <c r="A72" s="47" t="s">
        <v>397</v>
      </c>
      <c r="B72" s="48" t="s">
        <v>398</v>
      </c>
      <c r="C72" s="48" t="s">
        <v>165</v>
      </c>
    </row>
    <row r="73" customFormat="false" ht="15.75" hidden="false" customHeight="false" outlineLevel="0" collapsed="false">
      <c r="A73" s="49" t="s">
        <v>399</v>
      </c>
      <c r="B73" s="54" t="n">
        <v>0.15</v>
      </c>
      <c r="C73" s="49" t="s">
        <v>400</v>
      </c>
    </row>
    <row r="74" customFormat="false" ht="15.75" hidden="false" customHeight="false" outlineLevel="0" collapsed="false">
      <c r="A74" s="49" t="s">
        <v>401</v>
      </c>
      <c r="B74" s="54" t="n">
        <v>0.07</v>
      </c>
      <c r="C74" s="49" t="s">
        <v>402</v>
      </c>
    </row>
    <row r="75" customFormat="false" ht="15.75" hidden="false" customHeight="false" outlineLevel="0" collapsed="false">
      <c r="A75" s="49" t="s">
        <v>403</v>
      </c>
      <c r="B75" s="54" t="n">
        <v>0.1</v>
      </c>
      <c r="C75" s="49" t="s">
        <v>404</v>
      </c>
    </row>
    <row r="77" customFormat="false" ht="15.75" hidden="false" customHeight="false" outlineLevel="0" collapsed="false">
      <c r="A77" s="45" t="s">
        <v>405</v>
      </c>
      <c r="B77" s="46"/>
      <c r="C77" s="46"/>
      <c r="D77" s="46"/>
    </row>
    <row r="78" customFormat="false" ht="15.75" hidden="false" customHeight="false" outlineLevel="0" collapsed="false">
      <c r="A78" s="47" t="s">
        <v>406</v>
      </c>
      <c r="B78" s="48" t="s">
        <v>407</v>
      </c>
      <c r="C78" s="48" t="s">
        <v>376</v>
      </c>
      <c r="D78" s="47" t="s">
        <v>165</v>
      </c>
    </row>
    <row r="79" customFormat="false" ht="15.75" hidden="false" customHeight="false" outlineLevel="0" collapsed="false">
      <c r="A79" s="49" t="s">
        <v>408</v>
      </c>
      <c r="B79" s="50" t="n">
        <v>1</v>
      </c>
      <c r="C79" s="50" t="n">
        <v>2000</v>
      </c>
      <c r="D79" s="49" t="s">
        <v>409</v>
      </c>
    </row>
    <row r="80" customFormat="false" ht="15.75" hidden="false" customHeight="false" outlineLevel="0" collapsed="false">
      <c r="A80" s="49" t="s">
        <v>410</v>
      </c>
      <c r="B80" s="50" t="n">
        <v>1</v>
      </c>
      <c r="C80" s="50" t="n">
        <v>1800</v>
      </c>
      <c r="D80" s="49" t="s">
        <v>411</v>
      </c>
    </row>
    <row r="81" customFormat="false" ht="15.75" hidden="false" customHeight="false" outlineLevel="0" collapsed="false">
      <c r="A81" s="49" t="s">
        <v>412</v>
      </c>
      <c r="B81" s="50" t="n">
        <v>1</v>
      </c>
      <c r="C81" s="50" t="n">
        <v>1200</v>
      </c>
      <c r="D81" s="49" t="s">
        <v>413</v>
      </c>
    </row>
    <row r="82" customFormat="false" ht="15.75" hidden="false" customHeight="false" outlineLevel="0" collapsed="false">
      <c r="A82" s="49" t="s">
        <v>414</v>
      </c>
      <c r="B82" s="50" t="n">
        <v>1</v>
      </c>
      <c r="C82" s="50" t="n">
        <v>1000</v>
      </c>
      <c r="D82" s="49" t="s">
        <v>415</v>
      </c>
    </row>
    <row r="83" customFormat="false" ht="15.75" hidden="false" customHeight="false" outlineLevel="0" collapsed="false">
      <c r="A83" s="49" t="s">
        <v>416</v>
      </c>
      <c r="B83" s="50" t="n">
        <v>0.5</v>
      </c>
      <c r="C83" s="50" t="n">
        <v>600</v>
      </c>
      <c r="D83" s="49" t="s">
        <v>417</v>
      </c>
    </row>
    <row r="84" customFormat="false" ht="15.75" hidden="false" customHeight="false" outlineLevel="0" collapsed="false">
      <c r="A84" s="49" t="s">
        <v>418</v>
      </c>
      <c r="B84" s="51" t="s">
        <v>148</v>
      </c>
      <c r="C84" s="50" t="n">
        <v>500</v>
      </c>
      <c r="D84" s="49" t="s">
        <v>419</v>
      </c>
    </row>
    <row r="85" customFormat="false" ht="15.75" hidden="false" customHeight="false" outlineLevel="0" collapsed="false">
      <c r="A85" s="49" t="s">
        <v>420</v>
      </c>
      <c r="B85" s="51" t="s">
        <v>148</v>
      </c>
      <c r="C85" s="50" t="n">
        <v>400</v>
      </c>
      <c r="D85" s="49" t="s">
        <v>421</v>
      </c>
    </row>
    <row r="86" customFormat="false" ht="15.75" hidden="false" customHeight="false" outlineLevel="0" collapsed="false">
      <c r="A86" s="49" t="s">
        <v>422</v>
      </c>
      <c r="B86" s="51" t="s">
        <v>148</v>
      </c>
      <c r="C86" s="50" t="n">
        <v>500</v>
      </c>
      <c r="D86" s="49" t="s">
        <v>423</v>
      </c>
    </row>
    <row r="87" customFormat="false" ht="15.75" hidden="false" customHeight="false" outlineLevel="0" collapsed="false">
      <c r="A87" s="52" t="s">
        <v>424</v>
      </c>
      <c r="B87" s="53" t="n">
        <f aca="false">SUM(B79:B86)</f>
        <v>4.5</v>
      </c>
      <c r="C87" s="53" t="n">
        <v>7500</v>
      </c>
      <c r="D87" s="49" t="s">
        <v>425</v>
      </c>
    </row>
    <row r="89" customFormat="false" ht="15.75" hidden="false" customHeight="false" outlineLevel="0" collapsed="false">
      <c r="A89" s="45" t="s">
        <v>426</v>
      </c>
      <c r="B89" s="46"/>
      <c r="C89" s="46"/>
      <c r="D89" s="46"/>
    </row>
    <row r="90" customFormat="false" ht="15.75" hidden="false" customHeight="false" outlineLevel="0" collapsed="false">
      <c r="A90" s="47" t="s">
        <v>4</v>
      </c>
      <c r="B90" s="48" t="s">
        <v>427</v>
      </c>
      <c r="C90" s="48" t="s">
        <v>428</v>
      </c>
      <c r="D90" s="47" t="s">
        <v>165</v>
      </c>
    </row>
    <row r="91" customFormat="false" ht="15.75" hidden="false" customHeight="false" outlineLevel="0" collapsed="false">
      <c r="A91" s="49" t="s">
        <v>429</v>
      </c>
      <c r="B91" s="57" t="n">
        <v>100000</v>
      </c>
      <c r="C91" s="62" t="n">
        <f aca="false">B91/12</f>
        <v>8333.33333333333</v>
      </c>
      <c r="D91" s="49" t="s">
        <v>430</v>
      </c>
    </row>
    <row r="92" customFormat="false" ht="15.75" hidden="false" customHeight="false" outlineLevel="0" collapsed="false">
      <c r="A92" s="49" t="s">
        <v>431</v>
      </c>
      <c r="B92" s="50" t="n">
        <v>70</v>
      </c>
      <c r="C92" s="51" t="s">
        <v>432</v>
      </c>
      <c r="D92" s="49" t="s">
        <v>433</v>
      </c>
    </row>
    <row r="93" customFormat="false" ht="15.75" hidden="false" customHeight="false" outlineLevel="0" collapsed="false">
      <c r="A93" s="49" t="s">
        <v>434</v>
      </c>
      <c r="B93" s="50" t="n">
        <v>200</v>
      </c>
      <c r="C93" s="51" t="s">
        <v>435</v>
      </c>
      <c r="D93" s="49" t="s">
        <v>436</v>
      </c>
    </row>
    <row r="94" customFormat="false" ht="15.75" hidden="false" customHeight="false" outlineLevel="0" collapsed="false">
      <c r="A94" s="49" t="s">
        <v>437</v>
      </c>
      <c r="B94" s="57" t="n">
        <v>50000</v>
      </c>
      <c r="C94" s="62" t="n">
        <f aca="false">B94/12</f>
        <v>4166.66666666667</v>
      </c>
      <c r="D94" s="49" t="s">
        <v>438</v>
      </c>
    </row>
    <row r="95" customFormat="false" ht="15.75" hidden="false" customHeight="false" outlineLevel="0" collapsed="false">
      <c r="A95" s="49" t="s">
        <v>439</v>
      </c>
      <c r="B95" s="57" t="n">
        <v>5000</v>
      </c>
      <c r="C95" s="51" t="s">
        <v>197</v>
      </c>
      <c r="D95" s="49" t="s">
        <v>440</v>
      </c>
    </row>
    <row r="96" customFormat="false" ht="15.75" hidden="false" customHeight="false" outlineLevel="0" collapsed="false">
      <c r="A96" s="49" t="s">
        <v>441</v>
      </c>
      <c r="B96" s="57" t="n">
        <v>3000</v>
      </c>
      <c r="C96" s="62" t="n">
        <f aca="false">B96/12</f>
        <v>250</v>
      </c>
      <c r="D96" s="49" t="s">
        <v>442</v>
      </c>
    </row>
    <row r="98" customFormat="false" ht="15.75" hidden="false" customHeight="false" outlineLevel="0" collapsed="false">
      <c r="A98" s="52" t="s">
        <v>443</v>
      </c>
      <c r="B98" s="63" t="n">
        <f aca="false">B91+B94+B95+B96</f>
        <v>158000</v>
      </c>
      <c r="C98" s="64" t="n">
        <f aca="false">B98/12</f>
        <v>13166.6666666667</v>
      </c>
      <c r="D98" s="49" t="s">
        <v>444</v>
      </c>
    </row>
    <row r="100" customFormat="false" ht="15.75" hidden="false" customHeight="false" outlineLevel="0" collapsed="false">
      <c r="A100" s="45" t="s">
        <v>445</v>
      </c>
      <c r="B100" s="46"/>
      <c r="C100" s="46"/>
      <c r="D100" s="46"/>
    </row>
    <row r="101" customFormat="false" ht="15.75" hidden="false" customHeight="false" outlineLevel="0" collapsed="false">
      <c r="A101" s="47" t="s">
        <v>4</v>
      </c>
      <c r="B101" s="48" t="s">
        <v>446</v>
      </c>
      <c r="C101" s="48" t="s">
        <v>447</v>
      </c>
      <c r="D101" s="47" t="s">
        <v>165</v>
      </c>
    </row>
    <row r="102" customFormat="false" ht="15.75" hidden="false" customHeight="false" outlineLevel="0" collapsed="false">
      <c r="A102" s="49" t="s">
        <v>448</v>
      </c>
      <c r="B102" s="57" t="n">
        <v>35000</v>
      </c>
      <c r="C102" s="65" t="n">
        <f aca="false">B102*$B$15</f>
        <v>49350</v>
      </c>
      <c r="D102" s="49" t="s">
        <v>449</v>
      </c>
    </row>
    <row r="103" customFormat="false" ht="15.75" hidden="false" customHeight="false" outlineLevel="0" collapsed="false">
      <c r="A103" s="49" t="s">
        <v>450</v>
      </c>
      <c r="B103" s="65" t="n">
        <f aca="false">B91</f>
        <v>100000</v>
      </c>
      <c r="C103" s="65" t="n">
        <f aca="false">B103*$B$15</f>
        <v>141000</v>
      </c>
      <c r="D103" s="49" t="s">
        <v>451</v>
      </c>
    </row>
    <row r="104" customFormat="false" ht="15.75" hidden="false" customHeight="false" outlineLevel="0" collapsed="false">
      <c r="A104" s="49" t="s">
        <v>437</v>
      </c>
      <c r="B104" s="65" t="n">
        <f aca="false">B94</f>
        <v>50000</v>
      </c>
      <c r="C104" s="65" t="n">
        <f aca="false">B104*$B$15</f>
        <v>70500</v>
      </c>
      <c r="D104" s="49" t="s">
        <v>452</v>
      </c>
    </row>
    <row r="105" customFormat="false" ht="15.75" hidden="false" customHeight="false" outlineLevel="0" collapsed="false">
      <c r="A105" s="49" t="s">
        <v>453</v>
      </c>
      <c r="B105" s="65" t="n">
        <f aca="false">B95</f>
        <v>5000</v>
      </c>
      <c r="C105" s="65" t="n">
        <f aca="false">B105*$B$15</f>
        <v>7050</v>
      </c>
      <c r="D105" s="49" t="s">
        <v>454</v>
      </c>
    </row>
    <row r="106" customFormat="false" ht="15.75" hidden="false" customHeight="false" outlineLevel="0" collapsed="false">
      <c r="A106" s="49" t="s">
        <v>455</v>
      </c>
      <c r="B106" s="57" t="n">
        <v>10000</v>
      </c>
      <c r="C106" s="65" t="n">
        <f aca="false">B106*$B$15</f>
        <v>14100</v>
      </c>
      <c r="D106" s="49" t="s">
        <v>456</v>
      </c>
    </row>
    <row r="107" customFormat="false" ht="15.75" hidden="false" customHeight="false" outlineLevel="0" collapsed="false">
      <c r="A107" s="49" t="s">
        <v>457</v>
      </c>
      <c r="B107" s="57" t="n">
        <v>40000</v>
      </c>
      <c r="C107" s="65" t="n">
        <f aca="false">B107*$B$15</f>
        <v>56400</v>
      </c>
      <c r="D107" s="49" t="s">
        <v>458</v>
      </c>
    </row>
    <row r="109" customFormat="false" ht="15.75" hidden="false" customHeight="false" outlineLevel="0" collapsed="false">
      <c r="A109" s="52" t="s">
        <v>459</v>
      </c>
      <c r="B109" s="63" t="n">
        <f aca="false">SUM(B102:B107)</f>
        <v>240000</v>
      </c>
      <c r="C109" s="63" t="n">
        <f aca="false">B109*$B$15</f>
        <v>338400</v>
      </c>
      <c r="D109" s="49" t="s">
        <v>460</v>
      </c>
    </row>
    <row r="110" customFormat="false" ht="15.75" hidden="false" customHeight="false" outlineLevel="0" collapsed="false">
      <c r="D110" s="49" t="s">
        <v>461</v>
      </c>
    </row>
    <row r="111" customFormat="false" ht="15.75" hidden="false" customHeight="false" outlineLevel="0" collapsed="false">
      <c r="A111" s="45" t="s">
        <v>462</v>
      </c>
      <c r="B111" s="46"/>
      <c r="C111" s="46"/>
    </row>
    <row r="112" customFormat="false" ht="15.75" hidden="false" customHeight="false" outlineLevel="0" collapsed="false">
      <c r="A112" s="47" t="s">
        <v>4</v>
      </c>
      <c r="B112" s="48" t="s">
        <v>446</v>
      </c>
      <c r="C112" s="47" t="s">
        <v>165</v>
      </c>
    </row>
    <row r="113" customFormat="false" ht="15.75" hidden="false" customHeight="false" outlineLevel="0" collapsed="false">
      <c r="A113" s="49" t="s">
        <v>463</v>
      </c>
      <c r="B113" s="65" t="n">
        <f aca="false">B91+B94</f>
        <v>150000</v>
      </c>
      <c r="C113" s="49" t="s">
        <v>464</v>
      </c>
    </row>
    <row r="114" customFormat="false" ht="15.75" hidden="false" customHeight="false" outlineLevel="0" collapsed="false">
      <c r="A114" s="49" t="s">
        <v>465</v>
      </c>
      <c r="B114" s="65" t="n">
        <f aca="false">B113*0.3</f>
        <v>45000</v>
      </c>
      <c r="C114" s="49" t="s">
        <v>466</v>
      </c>
    </row>
    <row r="115" customFormat="false" ht="15.75" hidden="false" customHeight="false" outlineLevel="0" collapsed="false">
      <c r="A115" s="52" t="s">
        <v>467</v>
      </c>
      <c r="B115" s="63" t="n">
        <f aca="false">B113+B114</f>
        <v>195000</v>
      </c>
      <c r="C115" s="49" t="s">
        <v>468</v>
      </c>
    </row>
    <row r="116" customFormat="false" ht="15.75" hidden="false" customHeight="false" outlineLevel="0" collapsed="false">
      <c r="A116" s="52" t="s">
        <v>469</v>
      </c>
      <c r="B116" s="53" t="s">
        <v>470</v>
      </c>
      <c r="C116" s="49" t="s">
        <v>471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43" colorId="64" zoomScale="125" zoomScaleNormal="125" zoomScalePageLayoutView="100" workbookViewId="0">
      <selection pane="topLeft" activeCell="B9" activeCellId="0" sqref="B9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6.67"/>
    <col collapsed="false" customWidth="true" hidden="false" outlineLevel="0" max="4" min="2" style="0" width="26.67"/>
    <col collapsed="false" customWidth="true" hidden="false" outlineLevel="0" max="5" min="5" style="0" width="50"/>
    <col collapsed="false" customWidth="true" hidden="false" outlineLevel="0" max="6" min="6" style="0" width="46.67"/>
    <col collapsed="false" customWidth="true" hidden="false" outlineLevel="0" max="7" min="7" style="0" width="21.67"/>
  </cols>
  <sheetData>
    <row r="1" customFormat="false" ht="18.75" hidden="false" customHeight="true" outlineLevel="0" collapsed="false">
      <c r="A1" s="43" t="s">
        <v>472</v>
      </c>
      <c r="B1" s="44"/>
      <c r="C1" s="44"/>
      <c r="D1" s="44"/>
      <c r="E1" s="44"/>
      <c r="F1" s="44"/>
      <c r="G1" s="44"/>
      <c r="H1" s="44"/>
      <c r="I1" s="44"/>
    </row>
    <row r="2" customFormat="false" ht="15.75" hidden="false" customHeight="false" outlineLevel="0" collapsed="false">
      <c r="A2" s="45" t="s">
        <v>473</v>
      </c>
      <c r="B2" s="46"/>
      <c r="C2" s="46"/>
      <c r="D2" s="46"/>
      <c r="E2" s="46"/>
      <c r="F2" s="46"/>
      <c r="G2" s="46"/>
      <c r="H2" s="46"/>
      <c r="I2" s="46"/>
    </row>
    <row r="4" customFormat="false" ht="15.75" hidden="false" customHeight="false" outlineLevel="0" collapsed="false">
      <c r="A4" s="45" t="s">
        <v>474</v>
      </c>
      <c r="B4" s="46"/>
      <c r="C4" s="46"/>
      <c r="D4" s="46"/>
      <c r="E4" s="46"/>
      <c r="F4" s="46"/>
    </row>
    <row r="5" customFormat="false" ht="15.75" hidden="false" customHeight="false" outlineLevel="0" collapsed="false">
      <c r="A5" s="66" t="s">
        <v>475</v>
      </c>
      <c r="B5" s="67" t="s">
        <v>476</v>
      </c>
      <c r="C5" s="67" t="s">
        <v>477</v>
      </c>
      <c r="D5" s="67" t="s">
        <v>478</v>
      </c>
      <c r="E5" s="67" t="s">
        <v>165</v>
      </c>
    </row>
    <row r="6" customFormat="false" ht="15.75" hidden="false" customHeight="false" outlineLevel="0" collapsed="false">
      <c r="A6" s="49" t="s">
        <v>479</v>
      </c>
      <c r="B6" s="68" t="n">
        <f aca="false">Assumptions!B47</f>
        <v>20</v>
      </c>
      <c r="C6" s="68" t="n">
        <f aca="false">Assumptions!B48</f>
        <v>35</v>
      </c>
      <c r="D6" s="68" t="n">
        <f aca="false">Assumptions!B49</f>
        <v>55</v>
      </c>
      <c r="E6" s="49" t="s">
        <v>480</v>
      </c>
    </row>
    <row r="7" customFormat="false" ht="15.75" hidden="false" customHeight="false" outlineLevel="0" collapsed="false">
      <c r="A7" s="49" t="s">
        <v>481</v>
      </c>
      <c r="B7" s="68" t="n">
        <f aca="false">Assumptions!C47</f>
        <v>28.2</v>
      </c>
      <c r="C7" s="68" t="n">
        <f aca="false">Assumptions!C48</f>
        <v>49.35</v>
      </c>
      <c r="D7" s="68" t="n">
        <f aca="false">Assumptions!C49</f>
        <v>77.55</v>
      </c>
      <c r="E7" s="49" t="s">
        <v>482</v>
      </c>
    </row>
    <row r="8" customFormat="false" ht="15.75" hidden="false" customHeight="false" outlineLevel="0" collapsed="false">
      <c r="A8" s="49" t="s">
        <v>483</v>
      </c>
      <c r="B8" s="51" t="s">
        <v>484</v>
      </c>
      <c r="C8" s="51" t="s">
        <v>485</v>
      </c>
      <c r="D8" s="51" t="s">
        <v>486</v>
      </c>
      <c r="E8" s="51" t="s">
        <v>487</v>
      </c>
    </row>
    <row r="9" customFormat="false" ht="15.75" hidden="false" customHeight="false" outlineLevel="0" collapsed="false">
      <c r="A9" s="49" t="s">
        <v>488</v>
      </c>
      <c r="B9" s="69" t="n">
        <f aca="false">Assumptions!D47</f>
        <v>0.45</v>
      </c>
      <c r="C9" s="69" t="n">
        <f aca="false">Assumptions!D48</f>
        <v>0.35</v>
      </c>
      <c r="D9" s="69" t="n">
        <f aca="false">Assumptions!D49</f>
        <v>0.2</v>
      </c>
      <c r="E9" s="49" t="s">
        <v>489</v>
      </c>
    </row>
    <row r="10" customFormat="false" ht="15.75" hidden="false" customHeight="false" outlineLevel="0" collapsed="false">
      <c r="A10" s="49" t="s">
        <v>344</v>
      </c>
      <c r="B10" s="68" t="n">
        <f aca="false">Assumptions!E47</f>
        <v>6</v>
      </c>
      <c r="C10" s="68" t="n">
        <f aca="false">Assumptions!E48</f>
        <v>9</v>
      </c>
      <c r="D10" s="68" t="n">
        <f aca="false">Assumptions!E49</f>
        <v>12</v>
      </c>
      <c r="E10" s="49" t="s">
        <v>490</v>
      </c>
    </row>
    <row r="11" customFormat="false" ht="15.75" hidden="false" customHeight="false" outlineLevel="0" collapsed="false">
      <c r="A11" s="49" t="s">
        <v>491</v>
      </c>
      <c r="B11" s="70" t="n">
        <f aca="false">Assumptions!F47</f>
        <v>390</v>
      </c>
      <c r="C11" s="70" t="n">
        <f aca="false">Assumptions!F48</f>
        <v>585</v>
      </c>
      <c r="D11" s="70" t="n">
        <f aca="false">Assumptions!F49</f>
        <v>780</v>
      </c>
      <c r="E11" s="49" t="s">
        <v>492</v>
      </c>
    </row>
    <row r="12" customFormat="false" ht="15.75" hidden="false" customHeight="false" outlineLevel="0" collapsed="false">
      <c r="A12" s="49" t="s">
        <v>493</v>
      </c>
      <c r="B12" s="71" t="n">
        <f aca="false">B6/B11</f>
        <v>0.0512820512820513</v>
      </c>
      <c r="C12" s="71" t="n">
        <f aca="false">C6/C11</f>
        <v>0.0598290598290598</v>
      </c>
      <c r="D12" s="71" t="n">
        <f aca="false">D6/D11</f>
        <v>0.0705128205128205</v>
      </c>
      <c r="E12" s="49" t="s">
        <v>494</v>
      </c>
    </row>
    <row r="14" customFormat="false" ht="15.75" hidden="false" customHeight="false" outlineLevel="0" collapsed="false">
      <c r="A14" s="45" t="s">
        <v>495</v>
      </c>
      <c r="B14" s="46"/>
      <c r="C14" s="46"/>
      <c r="D14" s="46"/>
      <c r="E14" s="46"/>
    </row>
    <row r="15" customFormat="false" ht="15.75" hidden="false" customHeight="false" outlineLevel="0" collapsed="false">
      <c r="A15" s="66" t="s">
        <v>102</v>
      </c>
      <c r="B15" s="67" t="s">
        <v>496</v>
      </c>
      <c r="C15" s="67" t="s">
        <v>497</v>
      </c>
      <c r="D15" s="67" t="s">
        <v>498</v>
      </c>
      <c r="E15" s="67" t="s">
        <v>499</v>
      </c>
    </row>
    <row r="16" customFormat="false" ht="15.75" hidden="false" customHeight="false" outlineLevel="0" collapsed="false">
      <c r="A16" s="52" t="s">
        <v>347</v>
      </c>
      <c r="B16" s="51" t="n">
        <v>6</v>
      </c>
      <c r="C16" s="51" t="s">
        <v>500</v>
      </c>
      <c r="D16" s="51" t="s">
        <v>501</v>
      </c>
      <c r="E16" s="51" t="s">
        <v>502</v>
      </c>
    </row>
    <row r="17" customFormat="false" ht="15.75" hidden="false" customHeight="false" outlineLevel="0" collapsed="false">
      <c r="A17" s="52" t="s">
        <v>349</v>
      </c>
      <c r="B17" s="51" t="n">
        <v>9</v>
      </c>
      <c r="C17" s="51" t="s">
        <v>503</v>
      </c>
      <c r="D17" s="51" t="s">
        <v>504</v>
      </c>
      <c r="E17" s="51" t="s">
        <v>505</v>
      </c>
    </row>
    <row r="18" customFormat="false" ht="15.75" hidden="false" customHeight="false" outlineLevel="0" collapsed="false">
      <c r="A18" s="52" t="s">
        <v>351</v>
      </c>
      <c r="B18" s="51" t="n">
        <v>12</v>
      </c>
      <c r="C18" s="51" t="s">
        <v>506</v>
      </c>
      <c r="D18" s="51" t="s">
        <v>507</v>
      </c>
      <c r="E18" s="51" t="s">
        <v>508</v>
      </c>
    </row>
    <row r="20" customFormat="false" ht="15.75" hidden="false" customHeight="false" outlineLevel="0" collapsed="false">
      <c r="A20" s="45" t="s">
        <v>509</v>
      </c>
      <c r="B20" s="46"/>
      <c r="C20" s="46"/>
      <c r="D20" s="46"/>
      <c r="E20" s="46"/>
    </row>
    <row r="21" customFormat="false" ht="15.75" hidden="false" customHeight="false" outlineLevel="0" collapsed="false">
      <c r="A21" s="66" t="s">
        <v>510</v>
      </c>
      <c r="B21" s="67" t="s">
        <v>476</v>
      </c>
      <c r="C21" s="67" t="s">
        <v>477</v>
      </c>
      <c r="D21" s="67" t="s">
        <v>478</v>
      </c>
      <c r="E21" s="67" t="s">
        <v>511</v>
      </c>
    </row>
    <row r="22" customFormat="false" ht="15.75" hidden="false" customHeight="false" outlineLevel="0" collapsed="false">
      <c r="A22" s="72" t="s">
        <v>512</v>
      </c>
    </row>
    <row r="23" customFormat="false" ht="15.75" hidden="false" customHeight="false" outlineLevel="0" collapsed="false">
      <c r="A23" s="49" t="s">
        <v>513</v>
      </c>
      <c r="B23" s="51" t="s">
        <v>514</v>
      </c>
      <c r="C23" s="51" t="s">
        <v>514</v>
      </c>
      <c r="D23" s="51" t="s">
        <v>514</v>
      </c>
      <c r="E23" s="51" t="s">
        <v>515</v>
      </c>
    </row>
    <row r="24" customFormat="false" ht="15.75" hidden="false" customHeight="false" outlineLevel="0" collapsed="false">
      <c r="A24" s="49" t="s">
        <v>516</v>
      </c>
      <c r="B24" s="51" t="s">
        <v>148</v>
      </c>
      <c r="C24" s="51" t="s">
        <v>514</v>
      </c>
      <c r="D24" s="51" t="s">
        <v>517</v>
      </c>
      <c r="E24" s="51" t="s">
        <v>518</v>
      </c>
    </row>
    <row r="25" customFormat="false" ht="15.75" hidden="false" customHeight="false" outlineLevel="0" collapsed="false">
      <c r="A25" s="49" t="s">
        <v>519</v>
      </c>
      <c r="B25" s="51" t="s">
        <v>148</v>
      </c>
      <c r="C25" s="51" t="s">
        <v>148</v>
      </c>
      <c r="D25" s="51" t="s">
        <v>514</v>
      </c>
      <c r="E25" s="51" t="s">
        <v>520</v>
      </c>
    </row>
    <row r="26" customFormat="false" ht="15.75" hidden="false" customHeight="false" outlineLevel="0" collapsed="false">
      <c r="A26" s="49" t="s">
        <v>521</v>
      </c>
      <c r="B26" s="51" t="s">
        <v>148</v>
      </c>
      <c r="C26" s="51" t="s">
        <v>148</v>
      </c>
      <c r="D26" s="51" t="s">
        <v>514</v>
      </c>
      <c r="E26" s="51" t="s">
        <v>522</v>
      </c>
    </row>
    <row r="27" customFormat="false" ht="15.75" hidden="false" customHeight="false" outlineLevel="0" collapsed="false">
      <c r="A27" s="72" t="s">
        <v>523</v>
      </c>
    </row>
    <row r="28" customFormat="false" ht="15.75" hidden="false" customHeight="false" outlineLevel="0" collapsed="false">
      <c r="A28" s="49" t="s">
        <v>524</v>
      </c>
      <c r="B28" s="51" t="s">
        <v>514</v>
      </c>
      <c r="C28" s="51" t="s">
        <v>514</v>
      </c>
      <c r="D28" s="51" t="s">
        <v>514</v>
      </c>
      <c r="E28" s="51" t="s">
        <v>525</v>
      </c>
    </row>
    <row r="29" customFormat="false" ht="15.75" hidden="false" customHeight="false" outlineLevel="0" collapsed="false">
      <c r="A29" s="49" t="s">
        <v>526</v>
      </c>
      <c r="B29" s="51" t="s">
        <v>148</v>
      </c>
      <c r="C29" s="51" t="s">
        <v>514</v>
      </c>
      <c r="D29" s="51" t="s">
        <v>514</v>
      </c>
      <c r="E29" s="51" t="s">
        <v>527</v>
      </c>
    </row>
    <row r="30" customFormat="false" ht="15.75" hidden="false" customHeight="false" outlineLevel="0" collapsed="false">
      <c r="A30" s="72" t="s">
        <v>528</v>
      </c>
    </row>
    <row r="31" customFormat="false" ht="15.75" hidden="false" customHeight="false" outlineLevel="0" collapsed="false">
      <c r="A31" s="49" t="s">
        <v>529</v>
      </c>
      <c r="B31" s="51" t="s">
        <v>514</v>
      </c>
      <c r="C31" s="51" t="s">
        <v>514</v>
      </c>
      <c r="D31" s="51" t="s">
        <v>514</v>
      </c>
      <c r="E31" s="51" t="s">
        <v>530</v>
      </c>
    </row>
    <row r="32" customFormat="false" ht="15.75" hidden="false" customHeight="false" outlineLevel="0" collapsed="false">
      <c r="A32" s="49" t="s">
        <v>531</v>
      </c>
      <c r="B32" s="51" t="s">
        <v>148</v>
      </c>
      <c r="C32" s="51" t="s">
        <v>514</v>
      </c>
      <c r="D32" s="51" t="s">
        <v>514</v>
      </c>
      <c r="E32" s="51" t="s">
        <v>532</v>
      </c>
    </row>
    <row r="33" customFormat="false" ht="15.75" hidden="false" customHeight="false" outlineLevel="0" collapsed="false">
      <c r="A33" s="49" t="s">
        <v>533</v>
      </c>
      <c r="B33" s="51" t="s">
        <v>148</v>
      </c>
      <c r="C33" s="51" t="s">
        <v>148</v>
      </c>
      <c r="D33" s="51" t="s">
        <v>514</v>
      </c>
      <c r="E33" s="51" t="s">
        <v>534</v>
      </c>
    </row>
    <row r="34" customFormat="false" ht="15.75" hidden="false" customHeight="false" outlineLevel="0" collapsed="false">
      <c r="A34" s="72" t="s">
        <v>535</v>
      </c>
    </row>
    <row r="35" customFormat="false" ht="15.75" hidden="false" customHeight="false" outlineLevel="0" collapsed="false">
      <c r="A35" s="49" t="s">
        <v>536</v>
      </c>
      <c r="B35" s="51" t="s">
        <v>148</v>
      </c>
      <c r="C35" s="51" t="s">
        <v>148</v>
      </c>
      <c r="D35" s="51" t="s">
        <v>514</v>
      </c>
      <c r="E35" s="51" t="s">
        <v>537</v>
      </c>
    </row>
    <row r="36" customFormat="false" ht="15.75" hidden="false" customHeight="false" outlineLevel="0" collapsed="false">
      <c r="A36" s="49" t="s">
        <v>538</v>
      </c>
      <c r="B36" s="51" t="s">
        <v>148</v>
      </c>
      <c r="C36" s="51" t="s">
        <v>148</v>
      </c>
      <c r="D36" s="51" t="s">
        <v>514</v>
      </c>
      <c r="E36" s="51" t="s">
        <v>539</v>
      </c>
    </row>
    <row r="39" customFormat="false" ht="15.75" hidden="false" customHeight="false" outlineLevel="0" collapsed="false">
      <c r="A39" s="45" t="s">
        <v>540</v>
      </c>
      <c r="B39" s="46"/>
      <c r="C39" s="46"/>
      <c r="D39" s="46"/>
      <c r="E39" s="46"/>
    </row>
    <row r="40" customFormat="false" ht="15.75" hidden="false" customHeight="false" outlineLevel="0" collapsed="false">
      <c r="A40" s="66" t="s">
        <v>541</v>
      </c>
      <c r="B40" s="67" t="s">
        <v>542</v>
      </c>
      <c r="C40" s="67" t="s">
        <v>543</v>
      </c>
      <c r="D40" s="67" t="s">
        <v>544</v>
      </c>
      <c r="E40" s="67" t="s">
        <v>359</v>
      </c>
    </row>
    <row r="41" customFormat="false" ht="15.75" hidden="false" customHeight="false" outlineLevel="0" collapsed="false">
      <c r="A41" s="49" t="s">
        <v>545</v>
      </c>
      <c r="B41" s="51" t="s">
        <v>546</v>
      </c>
      <c r="C41" s="51" t="s">
        <v>547</v>
      </c>
      <c r="D41" s="51" t="s">
        <v>548</v>
      </c>
      <c r="E41" s="51" t="s">
        <v>362</v>
      </c>
    </row>
    <row r="42" customFormat="false" ht="15.75" hidden="false" customHeight="false" outlineLevel="0" collapsed="false">
      <c r="A42" s="49" t="s">
        <v>549</v>
      </c>
      <c r="B42" s="51" t="s">
        <v>550</v>
      </c>
      <c r="C42" s="51" t="s">
        <v>551</v>
      </c>
      <c r="D42" s="51" t="s">
        <v>552</v>
      </c>
      <c r="E42" s="51" t="s">
        <v>365</v>
      </c>
    </row>
    <row r="43" customFormat="false" ht="15.75" hidden="false" customHeight="false" outlineLevel="0" collapsed="false">
      <c r="A43" s="49" t="s">
        <v>553</v>
      </c>
      <c r="B43" s="51" t="s">
        <v>554</v>
      </c>
      <c r="C43" s="51" t="s">
        <v>555</v>
      </c>
      <c r="D43" s="51" t="s">
        <v>548</v>
      </c>
      <c r="E43" s="51" t="s">
        <v>368</v>
      </c>
    </row>
    <row r="45" customFormat="false" ht="15.75" hidden="false" customHeight="false" outlineLevel="0" collapsed="false">
      <c r="A45" s="52" t="s">
        <v>556</v>
      </c>
    </row>
    <row r="46" customFormat="false" ht="15.75" hidden="false" customHeight="false" outlineLevel="0" collapsed="false">
      <c r="A46" s="49" t="s">
        <v>557</v>
      </c>
    </row>
    <row r="47" customFormat="false" ht="15.75" hidden="false" customHeight="false" outlineLevel="0" collapsed="false">
      <c r="A47" s="49" t="s">
        <v>558</v>
      </c>
    </row>
    <row r="48" customFormat="false" ht="15.75" hidden="false" customHeight="false" outlineLevel="0" collapsed="false">
      <c r="A48" s="49" t="s">
        <v>559</v>
      </c>
    </row>
    <row r="49" customFormat="false" ht="15.75" hidden="false" customHeight="false" outlineLevel="0" collapsed="false">
      <c r="A49" s="49" t="s">
        <v>560</v>
      </c>
    </row>
    <row r="50" customFormat="false" ht="15.75" hidden="false" customHeight="false" outlineLevel="0" collapsed="false">
      <c r="A50" s="49" t="s">
        <v>561</v>
      </c>
    </row>
    <row r="52" customFormat="false" ht="15.75" hidden="false" customHeight="false" outlineLevel="0" collapsed="false">
      <c r="A52" s="45" t="s">
        <v>562</v>
      </c>
      <c r="B52" s="46"/>
      <c r="C52" s="46"/>
      <c r="D52" s="46"/>
      <c r="E52" s="46"/>
    </row>
    <row r="53" customFormat="false" ht="15.75" hidden="false" customHeight="false" outlineLevel="0" collapsed="false">
      <c r="A53" s="66" t="s">
        <v>161</v>
      </c>
      <c r="B53" s="67" t="s">
        <v>563</v>
      </c>
      <c r="C53" s="67" t="s">
        <v>564</v>
      </c>
      <c r="D53" s="67" t="s">
        <v>565</v>
      </c>
    </row>
    <row r="54" customFormat="false" ht="15.75" hidden="false" customHeight="false" outlineLevel="0" collapsed="false">
      <c r="A54" s="49" t="s">
        <v>566</v>
      </c>
      <c r="B54" s="51" t="s">
        <v>567</v>
      </c>
      <c r="C54" s="51" t="s">
        <v>568</v>
      </c>
      <c r="D54" s="51" t="s">
        <v>569</v>
      </c>
    </row>
    <row r="55" customFormat="false" ht="15.75" hidden="false" customHeight="false" outlineLevel="0" collapsed="false">
      <c r="A55" s="49" t="s">
        <v>570</v>
      </c>
      <c r="B55" s="55" t="n">
        <v>0.7</v>
      </c>
      <c r="C55" s="73" t="n">
        <v>1</v>
      </c>
      <c r="D55" s="74" t="s">
        <v>571</v>
      </c>
    </row>
    <row r="56" customFormat="false" ht="15.75" hidden="false" customHeight="false" outlineLevel="0" collapsed="false">
      <c r="A56" s="49" t="s">
        <v>572</v>
      </c>
      <c r="B56" s="75" t="n">
        <f aca="false">585*0.3</f>
        <v>175.5</v>
      </c>
      <c r="C56" s="76" t="n">
        <f aca="false">Assumptions!B50</f>
        <v>32.25</v>
      </c>
      <c r="D56" s="77" t="n">
        <f aca="false">B56-C56</f>
        <v>143.25</v>
      </c>
    </row>
    <row r="57" customFormat="false" ht="15.75" hidden="false" customHeight="false" outlineLevel="0" collapsed="false">
      <c r="A57" s="49" t="s">
        <v>573</v>
      </c>
      <c r="B57" s="51" t="s">
        <v>112</v>
      </c>
      <c r="C57" s="59" t="s">
        <v>574</v>
      </c>
      <c r="D57" s="68" t="s">
        <v>575</v>
      </c>
    </row>
    <row r="58" customFormat="false" ht="15.75" hidden="false" customHeight="false" outlineLevel="0" collapsed="false">
      <c r="A58" s="49" t="s">
        <v>576</v>
      </c>
      <c r="B58" s="51" t="s">
        <v>112</v>
      </c>
      <c r="C58" s="59" t="s">
        <v>577</v>
      </c>
      <c r="D58" s="68" t="s">
        <v>578</v>
      </c>
    </row>
    <row r="59" customFormat="false" ht="15.75" hidden="false" customHeight="false" outlineLevel="0" collapsed="false">
      <c r="A59" s="49" t="s">
        <v>579</v>
      </c>
      <c r="B59" s="51" t="s">
        <v>580</v>
      </c>
      <c r="C59" s="59" t="s">
        <v>581</v>
      </c>
      <c r="D59" s="68" t="s">
        <v>582</v>
      </c>
    </row>
    <row r="60" customFormat="false" ht="15.75" hidden="false" customHeight="false" outlineLevel="0" collapsed="false">
      <c r="A60" s="49" t="s">
        <v>583</v>
      </c>
      <c r="B60" s="51" t="s">
        <v>110</v>
      </c>
      <c r="C60" s="59" t="s">
        <v>584</v>
      </c>
      <c r="D60" s="68" t="s">
        <v>585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O5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5" activeCellId="0" sqref="E15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5"/>
    <col collapsed="false" customWidth="true" hidden="false" outlineLevel="0" max="15" min="15" style="0" width="18.33"/>
  </cols>
  <sheetData>
    <row r="1" customFormat="false" ht="18.75" hidden="false" customHeight="true" outlineLevel="0" collapsed="false">
      <c r="A1" s="43" t="s">
        <v>586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customFormat="false" ht="15.75" hidden="false" customHeight="false" outlineLevel="0" collapsed="false">
      <c r="A2" s="45" t="s">
        <v>587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4" customFormat="false" ht="15.75" hidden="false" customHeight="false" outlineLevel="0" collapsed="false">
      <c r="A4" s="66" t="s">
        <v>53</v>
      </c>
      <c r="B4" s="67" t="s">
        <v>186</v>
      </c>
      <c r="C4" s="67" t="s">
        <v>262</v>
      </c>
      <c r="D4" s="67" t="s">
        <v>588</v>
      </c>
      <c r="E4" s="67" t="s">
        <v>589</v>
      </c>
      <c r="F4" s="67" t="s">
        <v>590</v>
      </c>
      <c r="G4" s="67" t="s">
        <v>591</v>
      </c>
      <c r="H4" s="67" t="s">
        <v>162</v>
      </c>
      <c r="I4" s="67" t="s">
        <v>592</v>
      </c>
      <c r="J4" s="67" t="s">
        <v>593</v>
      </c>
      <c r="K4" s="67" t="s">
        <v>163</v>
      </c>
      <c r="L4" s="67" t="s">
        <v>594</v>
      </c>
      <c r="M4" s="67" t="s">
        <v>595</v>
      </c>
      <c r="N4" s="67" t="s">
        <v>164</v>
      </c>
      <c r="O4" s="67" t="s">
        <v>596</v>
      </c>
    </row>
    <row r="5" customFormat="false" ht="15.75" hidden="false" customHeight="false" outlineLevel="0" collapsed="false">
      <c r="A5" s="72" t="s">
        <v>597</v>
      </c>
    </row>
    <row r="6" customFormat="false" ht="15.75" hidden="false" customHeight="false" outlineLevel="0" collapsed="false">
      <c r="A6" s="49" t="s">
        <v>598</v>
      </c>
      <c r="B6" s="78" t="s">
        <v>599</v>
      </c>
      <c r="C6" s="65" t="n">
        <f aca="false">Assumptions!B28</f>
        <v>250</v>
      </c>
      <c r="D6" s="65" t="n">
        <f aca="false">ROUND(C11*Assumptions!$B$29,0)</f>
        <v>75</v>
      </c>
      <c r="E6" s="65" t="n">
        <f aca="false">ROUND(D11*Assumptions!$B$29,0)</f>
        <v>79</v>
      </c>
      <c r="F6" s="65" t="n">
        <f aca="false">ROUND(E11*Assumptions!$B$29,0)</f>
        <v>90</v>
      </c>
      <c r="G6" s="65" t="n">
        <f aca="false">ROUND(F11*Assumptions!$B$29,0)</f>
        <v>107</v>
      </c>
      <c r="H6" s="65" t="n">
        <f aca="false">ROUND(G11*Assumptions!$B$29,0)</f>
        <v>128</v>
      </c>
      <c r="I6" s="65" t="n">
        <f aca="false">ROUND(H11*Assumptions!$B$29,0)</f>
        <v>153</v>
      </c>
      <c r="J6" s="65" t="n">
        <f aca="false">ROUND(I11*Assumptions!$B$29,0)</f>
        <v>182</v>
      </c>
      <c r="K6" s="65" t="n">
        <f aca="false">ROUND(J11*Assumptions!$B$29,0)</f>
        <v>218</v>
      </c>
      <c r="L6" s="65" t="n">
        <f aca="false">ROUND(K11*Assumptions!$B$29,0)</f>
        <v>260</v>
      </c>
      <c r="M6" s="65" t="n">
        <f aca="false">ROUND(L11*Assumptions!$B$29,0)</f>
        <v>311</v>
      </c>
      <c r="N6" s="65" t="n">
        <f aca="false">ROUND(M11*Assumptions!$B$29,0)</f>
        <v>371</v>
      </c>
      <c r="O6" s="79" t="n">
        <f aca="false">SUM(C6:N6)</f>
        <v>2224</v>
      </c>
    </row>
    <row r="7" customFormat="false" ht="15.75" hidden="false" customHeight="false" outlineLevel="0" collapsed="false">
      <c r="A7" s="49" t="s">
        <v>600</v>
      </c>
      <c r="B7" s="78" t="s">
        <v>601</v>
      </c>
      <c r="C7" s="65" t="n">
        <f aca="false">C6</f>
        <v>250</v>
      </c>
      <c r="D7" s="65" t="n">
        <f aca="false">D6</f>
        <v>75</v>
      </c>
      <c r="E7" s="65" t="n">
        <f aca="false">E6</f>
        <v>79</v>
      </c>
      <c r="F7" s="65" t="n">
        <f aca="false">F6</f>
        <v>90</v>
      </c>
      <c r="G7" s="65" t="n">
        <f aca="false">G6</f>
        <v>107</v>
      </c>
      <c r="H7" s="65" t="n">
        <f aca="false">H6</f>
        <v>128</v>
      </c>
      <c r="I7" s="65" t="n">
        <f aca="false">I6</f>
        <v>153</v>
      </c>
      <c r="J7" s="65" t="n">
        <f aca="false">J6</f>
        <v>182</v>
      </c>
      <c r="K7" s="65" t="n">
        <f aca="false">K6</f>
        <v>218</v>
      </c>
      <c r="L7" s="65" t="n">
        <f aca="false">L6</f>
        <v>260</v>
      </c>
      <c r="M7" s="65" t="n">
        <f aca="false">M6</f>
        <v>311</v>
      </c>
      <c r="N7" s="65" t="n">
        <f aca="false">N6</f>
        <v>371</v>
      </c>
      <c r="O7" s="79" t="n">
        <f aca="false">N7</f>
        <v>371</v>
      </c>
    </row>
    <row r="8" customFormat="false" ht="15.75" hidden="false" customHeight="false" outlineLevel="0" collapsed="false">
      <c r="A8" s="49" t="s">
        <v>602</v>
      </c>
      <c r="B8" s="78" t="s">
        <v>601</v>
      </c>
      <c r="C8" s="65" t="n">
        <v>0</v>
      </c>
      <c r="D8" s="65" t="n">
        <f aca="false">ROUND(C7*(1-Assumptions!$B$40),0)</f>
        <v>188</v>
      </c>
      <c r="E8" s="65" t="n">
        <f aca="false">ROUND(D7*(1-Assumptions!$B$40),0)</f>
        <v>56</v>
      </c>
      <c r="F8" s="65" t="n">
        <f aca="false">ROUND(E7*(1-Assumptions!$B$40),0)</f>
        <v>59</v>
      </c>
      <c r="G8" s="65" t="n">
        <f aca="false">ROUND(F7*(1-Assumptions!$B$40),0)</f>
        <v>68</v>
      </c>
      <c r="H8" s="65" t="n">
        <f aca="false">ROUND(G7*(1-Assumptions!$B$40),0)</f>
        <v>80</v>
      </c>
      <c r="I8" s="65" t="n">
        <f aca="false">ROUND(H7*(1-Assumptions!$B$40),0)</f>
        <v>96</v>
      </c>
      <c r="J8" s="65" t="n">
        <f aca="false">ROUND(I7*(1-Assumptions!$B$40),0)</f>
        <v>115</v>
      </c>
      <c r="K8" s="65" t="n">
        <f aca="false">ROUND(J7*(1-Assumptions!$B$40),0)</f>
        <v>137</v>
      </c>
      <c r="L8" s="65" t="n">
        <f aca="false">ROUND(K7*(1-Assumptions!$B$40),0)</f>
        <v>164</v>
      </c>
      <c r="M8" s="65" t="n">
        <f aca="false">ROUND(L7*(1-Assumptions!$B$40),0)</f>
        <v>195</v>
      </c>
      <c r="N8" s="65" t="n">
        <f aca="false">ROUND(M7*(1-Assumptions!$B$40),0)</f>
        <v>233</v>
      </c>
      <c r="O8" s="79" t="n">
        <f aca="false">N8</f>
        <v>233</v>
      </c>
    </row>
    <row r="9" customFormat="false" ht="15.75" hidden="false" customHeight="false" outlineLevel="0" collapsed="false">
      <c r="A9" s="49" t="s">
        <v>603</v>
      </c>
      <c r="B9" s="78" t="s">
        <v>601</v>
      </c>
      <c r="C9" s="65" t="n">
        <v>0</v>
      </c>
      <c r="D9" s="65" t="n">
        <f aca="false">ROUND(C8*(1-Assumptions!$B$41),0)+ROUND(C9*(1-Assumptions!$B$42),0)</f>
        <v>0</v>
      </c>
      <c r="E9" s="65" t="n">
        <f aca="false">ROUND(D8*(1-Assumptions!$B$41),0)+ROUND(D9*(1-Assumptions!$B$42),0)</f>
        <v>165</v>
      </c>
      <c r="F9" s="65" t="n">
        <f aca="false">ROUND(E8*(1-Assumptions!$B$41),0)+ROUND(E9*(1-Assumptions!$B$42),0)</f>
        <v>207</v>
      </c>
      <c r="G9" s="65" t="n">
        <f aca="false">ROUND(F8*(1-Assumptions!$B$41),0)+ROUND(F9*(1-Assumptions!$B$42),0)</f>
        <v>251</v>
      </c>
      <c r="H9" s="65" t="n">
        <f aca="false">ROUND(G8*(1-Assumptions!$B$41),0)+ROUND(G9*(1-Assumptions!$B$42),0)</f>
        <v>301</v>
      </c>
      <c r="I9" s="65" t="n">
        <f aca="false">ROUND(H8*(1-Assumptions!$B$41),0)+ROUND(H9*(1-Assumptions!$B$42),0)</f>
        <v>359</v>
      </c>
      <c r="J9" s="65" t="n">
        <f aca="false">ROUND(I8*(1-Assumptions!$B$41),0)+ROUND(I9*(1-Assumptions!$B$42),0)</f>
        <v>429</v>
      </c>
      <c r="K9" s="65" t="n">
        <f aca="false">ROUND(J8*(1-Assumptions!$B$41),0)+ROUND(J9*(1-Assumptions!$B$42),0)</f>
        <v>513</v>
      </c>
      <c r="L9" s="65" t="n">
        <f aca="false">ROUND(K8*(1-Assumptions!$B$41),0)+ROUND(K9*(1-Assumptions!$B$42),0)</f>
        <v>613</v>
      </c>
      <c r="M9" s="65" t="n">
        <f aca="false">ROUND(L8*(1-Assumptions!$B$41),0)+ROUND(L9*(1-Assumptions!$B$42),0)</f>
        <v>732</v>
      </c>
      <c r="N9" s="65" t="n">
        <f aca="false">ROUND(M8*(1-Assumptions!$B$41),0)+ROUND(M9*(1-Assumptions!$B$42),0)</f>
        <v>875</v>
      </c>
      <c r="O9" s="79" t="n">
        <f aca="false">N9</f>
        <v>875</v>
      </c>
    </row>
    <row r="10" customFormat="false" ht="15.75" hidden="false" customHeight="false" outlineLevel="0" collapsed="false">
      <c r="A10" s="80" t="s">
        <v>604</v>
      </c>
      <c r="B10" s="78" t="s">
        <v>599</v>
      </c>
      <c r="C10" s="81" t="n">
        <v>0</v>
      </c>
      <c r="D10" s="81" t="n">
        <f aca="false">ROUND(C7*Assumptions!$B$40,0)+ROUND(C8*Assumptions!$B$41,0)+ROUND(C9*Assumptions!$B$42,0)</f>
        <v>63</v>
      </c>
      <c r="E10" s="81" t="n">
        <f aca="false">ROUND(D7*Assumptions!$B$40,0)+ROUND(D8*Assumptions!$B$41,0)+ROUND(D9*Assumptions!$B$42,0)</f>
        <v>42</v>
      </c>
      <c r="F10" s="81" t="n">
        <f aca="false">ROUND(E7*Assumptions!$B$40,0)+ROUND(E8*Assumptions!$B$41,0)+ROUND(E9*Assumptions!$B$42,0)</f>
        <v>34</v>
      </c>
      <c r="G10" s="81" t="n">
        <f aca="false">ROUND(F7*Assumptions!$B$40,0)+ROUND(F8*Assumptions!$B$41,0)+ROUND(F9*Assumptions!$B$42,0)</f>
        <v>38</v>
      </c>
      <c r="H10" s="81" t="n">
        <f aca="false">ROUND(G7*Assumptions!$B$40,0)+ROUND(G8*Assumptions!$B$41,0)+ROUND(G9*Assumptions!$B$42,0)</f>
        <v>45</v>
      </c>
      <c r="I10" s="81" t="n">
        <f aca="false">ROUND(H7*Assumptions!$B$40,0)+ROUND(H8*Assumptions!$B$41,0)+ROUND(H9*Assumptions!$B$42,0)</f>
        <v>54</v>
      </c>
      <c r="J10" s="81" t="n">
        <f aca="false">ROUND(I7*Assumptions!$B$40,0)+ROUND(I8*Assumptions!$B$41,0)+ROUND(I9*Assumptions!$B$42,0)</f>
        <v>64</v>
      </c>
      <c r="K10" s="81" t="n">
        <f aca="false">ROUND(J7*Assumptions!$B$40,0)+ROUND(J8*Assumptions!$B$41,0)+ROUND(J9*Assumptions!$B$42,0)</f>
        <v>77</v>
      </c>
      <c r="L10" s="81" t="n">
        <f aca="false">ROUND(K7*Assumptions!$B$40,0)+ROUND(K8*Assumptions!$B$41,0)+ROUND(K9*Assumptions!$B$42,0)</f>
        <v>92</v>
      </c>
      <c r="M10" s="81" t="n">
        <f aca="false">ROUND(L7*Assumptions!$B$40,0)+ROUND(L8*Assumptions!$B$41,0)+ROUND(L9*Assumptions!$B$42,0)</f>
        <v>110</v>
      </c>
      <c r="N10" s="81" t="n">
        <f aca="false">ROUND(M7*Assumptions!$B$40,0)+ROUND(M8*Assumptions!$B$41,0)+ROUND(M9*Assumptions!$B$42,0)</f>
        <v>130</v>
      </c>
      <c r="O10" s="82" t="n">
        <f aca="false">SUM(C10:N10)</f>
        <v>749</v>
      </c>
    </row>
    <row r="11" customFormat="false" ht="15.75" hidden="false" customHeight="false" outlineLevel="0" collapsed="false">
      <c r="A11" s="52" t="s">
        <v>605</v>
      </c>
      <c r="B11" s="78" t="s">
        <v>606</v>
      </c>
      <c r="C11" s="79" t="n">
        <f aca="false">C7+C8+C9</f>
        <v>250</v>
      </c>
      <c r="D11" s="79" t="n">
        <f aca="false">D7+D8+D9</f>
        <v>263</v>
      </c>
      <c r="E11" s="79" t="n">
        <f aca="false">E7+E8+E9</f>
        <v>300</v>
      </c>
      <c r="F11" s="79" t="n">
        <f aca="false">F7+F8+F9</f>
        <v>356</v>
      </c>
      <c r="G11" s="79" t="n">
        <f aca="false">G7+G8+G9</f>
        <v>426</v>
      </c>
      <c r="H11" s="79" t="n">
        <f aca="false">H7+H8+H9</f>
        <v>509</v>
      </c>
      <c r="I11" s="79" t="n">
        <f aca="false">I7+I8+I9</f>
        <v>608</v>
      </c>
      <c r="J11" s="79" t="n">
        <f aca="false">J7+J8+J9</f>
        <v>726</v>
      </c>
      <c r="K11" s="79" t="n">
        <f aca="false">K7+K8+K9</f>
        <v>868</v>
      </c>
      <c r="L11" s="79" t="n">
        <f aca="false">L7+L8+L9</f>
        <v>1037</v>
      </c>
      <c r="M11" s="79" t="n">
        <f aca="false">M7+M8+M9</f>
        <v>1238</v>
      </c>
      <c r="N11" s="79" t="n">
        <f aca="false">N7+N8+N9</f>
        <v>1479</v>
      </c>
      <c r="O11" s="79" t="n">
        <f aca="false">N11</f>
        <v>1479</v>
      </c>
    </row>
    <row r="12" customFormat="false" ht="15.75" hidden="false" customHeight="false" outlineLevel="0" collapsed="false">
      <c r="A12" s="49" t="s">
        <v>607</v>
      </c>
      <c r="B12" s="78" t="s">
        <v>599</v>
      </c>
      <c r="C12" s="65" t="n">
        <f aca="false">C11*Assumptions!$B$9*Assumptions!$B$10</f>
        <v>58500</v>
      </c>
      <c r="D12" s="65" t="n">
        <f aca="false">D11*Assumptions!$B$9*Assumptions!$B$10</f>
        <v>61542</v>
      </c>
      <c r="E12" s="65" t="n">
        <f aca="false">E11*Assumptions!$B$9*Assumptions!$B$10</f>
        <v>70200</v>
      </c>
      <c r="F12" s="65" t="n">
        <f aca="false">F11*Assumptions!$B$9*Assumptions!$B$10</f>
        <v>83304</v>
      </c>
      <c r="G12" s="65" t="n">
        <f aca="false">G11*Assumptions!$B$9*Assumptions!$B$10</f>
        <v>99684</v>
      </c>
      <c r="H12" s="65" t="n">
        <f aca="false">H11*Assumptions!$B$9*Assumptions!$B$10</f>
        <v>119106</v>
      </c>
      <c r="I12" s="65" t="n">
        <f aca="false">I11*Assumptions!$B$9*Assumptions!$B$10</f>
        <v>142272</v>
      </c>
      <c r="J12" s="65" t="n">
        <f aca="false">J11*Assumptions!$B$9*Assumptions!$B$10</f>
        <v>169884</v>
      </c>
      <c r="K12" s="65" t="n">
        <f aca="false">K11*Assumptions!$B$9*Assumptions!$B$10</f>
        <v>203112</v>
      </c>
      <c r="L12" s="65" t="n">
        <f aca="false">L11*Assumptions!$B$9*Assumptions!$B$10</f>
        <v>242658</v>
      </c>
      <c r="M12" s="65" t="n">
        <f aca="false">M11*Assumptions!$B$9*Assumptions!$B$10</f>
        <v>289692</v>
      </c>
      <c r="N12" s="65" t="n">
        <f aca="false">N11*Assumptions!$B$9*Assumptions!$B$10</f>
        <v>346086</v>
      </c>
      <c r="O12" s="79" t="n">
        <f aca="false">SUM(C12:N12)</f>
        <v>1886040</v>
      </c>
    </row>
    <row r="13" customFormat="false" ht="15.75" hidden="false" customHeight="false" outlineLevel="0" collapsed="false">
      <c r="A13" s="49" t="s">
        <v>608</v>
      </c>
      <c r="B13" s="78" t="s">
        <v>599</v>
      </c>
      <c r="C13" s="65" t="n">
        <f aca="false">C12*Assumptions!$B$8</f>
        <v>146250</v>
      </c>
      <c r="D13" s="65" t="n">
        <f aca="false">D12*Assumptions!$B$8</f>
        <v>153855</v>
      </c>
      <c r="E13" s="65" t="n">
        <f aca="false">E12*Assumptions!$B$8</f>
        <v>175500</v>
      </c>
      <c r="F13" s="65" t="n">
        <f aca="false">F12*Assumptions!$B$8</f>
        <v>208260</v>
      </c>
      <c r="G13" s="65" t="n">
        <f aca="false">G12*Assumptions!$B$8</f>
        <v>249210</v>
      </c>
      <c r="H13" s="65" t="n">
        <f aca="false">H12*Assumptions!$B$8</f>
        <v>297765</v>
      </c>
      <c r="I13" s="65" t="n">
        <f aca="false">I12*Assumptions!$B$8</f>
        <v>355680</v>
      </c>
      <c r="J13" s="65" t="n">
        <f aca="false">J12*Assumptions!$B$8</f>
        <v>424710</v>
      </c>
      <c r="K13" s="65" t="n">
        <f aca="false">K12*Assumptions!$B$8</f>
        <v>507780</v>
      </c>
      <c r="L13" s="65" t="n">
        <f aca="false">L12*Assumptions!$B$8</f>
        <v>606645</v>
      </c>
      <c r="M13" s="65" t="n">
        <f aca="false">M12*Assumptions!$B$8</f>
        <v>724230</v>
      </c>
      <c r="N13" s="65" t="n">
        <f aca="false">N12*Assumptions!$B$8</f>
        <v>865215</v>
      </c>
      <c r="O13" s="79" t="n">
        <f aca="false">SUM(C13:N13)</f>
        <v>4715100</v>
      </c>
    </row>
    <row r="15" customFormat="false" ht="15.75" hidden="false" customHeight="false" outlineLevel="0" collapsed="false">
      <c r="A15" s="72" t="s">
        <v>609</v>
      </c>
    </row>
    <row r="16" customFormat="false" ht="15.75" hidden="false" customHeight="false" outlineLevel="0" collapsed="false">
      <c r="A16" s="49" t="s">
        <v>610</v>
      </c>
      <c r="B16" s="78" t="s">
        <v>599</v>
      </c>
      <c r="C16" s="65" t="n">
        <v>0</v>
      </c>
      <c r="D16" s="65" t="n">
        <v>0</v>
      </c>
      <c r="E16" s="65" t="n">
        <v>0</v>
      </c>
      <c r="F16" s="65" t="n">
        <v>0</v>
      </c>
      <c r="G16" s="65" t="n">
        <v>0</v>
      </c>
      <c r="H16" s="65" t="n">
        <v>0</v>
      </c>
      <c r="I16" s="65" t="n">
        <v>0</v>
      </c>
      <c r="J16" s="65" t="n">
        <v>0</v>
      </c>
      <c r="K16" s="65" t="n">
        <v>0</v>
      </c>
      <c r="L16" s="65" t="n">
        <v>0</v>
      </c>
      <c r="M16" s="65" t="n">
        <v>0</v>
      </c>
      <c r="N16" s="65" t="n">
        <v>0</v>
      </c>
      <c r="O16" s="79" t="n">
        <f aca="false">SUM(C16:N16)</f>
        <v>0</v>
      </c>
    </row>
    <row r="17" customFormat="false" ht="15.75" hidden="false" customHeight="false" outlineLevel="0" collapsed="false">
      <c r="A17" s="49" t="s">
        <v>611</v>
      </c>
      <c r="B17" s="78" t="s">
        <v>599</v>
      </c>
      <c r="C17" s="65" t="n">
        <f aca="false">C8*Assumptions!$C$35</f>
        <v>0</v>
      </c>
      <c r="D17" s="65" t="n">
        <f aca="false">D8*Assumptions!$C$35</f>
        <v>1880</v>
      </c>
      <c r="E17" s="65" t="n">
        <f aca="false">E8*Assumptions!$C$35</f>
        <v>560</v>
      </c>
      <c r="F17" s="65" t="n">
        <f aca="false">F8*Assumptions!$C$35</f>
        <v>590</v>
      </c>
      <c r="G17" s="65" t="n">
        <f aca="false">G8*Assumptions!$C$35</f>
        <v>680</v>
      </c>
      <c r="H17" s="65" t="n">
        <f aca="false">H8*Assumptions!$C$35</f>
        <v>800</v>
      </c>
      <c r="I17" s="65" t="n">
        <f aca="false">I8*Assumptions!$C$35</f>
        <v>960</v>
      </c>
      <c r="J17" s="65" t="n">
        <f aca="false">J8*Assumptions!$C$35</f>
        <v>1150</v>
      </c>
      <c r="K17" s="65" t="n">
        <f aca="false">K8*Assumptions!$C$35</f>
        <v>1370</v>
      </c>
      <c r="L17" s="65" t="n">
        <f aca="false">L8*Assumptions!$C$35</f>
        <v>1640</v>
      </c>
      <c r="M17" s="65" t="n">
        <f aca="false">M8*Assumptions!$C$35</f>
        <v>1950</v>
      </c>
      <c r="N17" s="65" t="n">
        <f aca="false">N8*Assumptions!$C$35</f>
        <v>2330</v>
      </c>
      <c r="O17" s="79" t="n">
        <f aca="false">SUM(C17:N17)</f>
        <v>13910</v>
      </c>
    </row>
    <row r="18" customFormat="false" ht="15.75" hidden="false" customHeight="false" outlineLevel="0" collapsed="false">
      <c r="A18" s="49" t="s">
        <v>612</v>
      </c>
      <c r="B18" s="78" t="s">
        <v>599</v>
      </c>
      <c r="C18" s="65" t="n">
        <f aca="false">C9*Assumptions!$D$47*Assumptions!$B$47</f>
        <v>0</v>
      </c>
      <c r="D18" s="65" t="n">
        <f aca="false">D9*Assumptions!$D$47*Assumptions!$B$47</f>
        <v>0</v>
      </c>
      <c r="E18" s="65" t="n">
        <f aca="false">E9*Assumptions!$D$47*Assumptions!$B$47</f>
        <v>1485</v>
      </c>
      <c r="F18" s="65" t="n">
        <f aca="false">F9*Assumptions!$D$47*Assumptions!$B$47</f>
        <v>1863</v>
      </c>
      <c r="G18" s="65" t="n">
        <f aca="false">G9*Assumptions!$D$47*Assumptions!$B$47</f>
        <v>2259</v>
      </c>
      <c r="H18" s="65" t="n">
        <f aca="false">H9*Assumptions!$D$47*Assumptions!$B$47</f>
        <v>2709</v>
      </c>
      <c r="I18" s="65" t="n">
        <f aca="false">I9*Assumptions!$D$47*Assumptions!$B$47</f>
        <v>3231</v>
      </c>
      <c r="J18" s="65" t="n">
        <f aca="false">J9*Assumptions!$D$47*Assumptions!$B$47</f>
        <v>3861</v>
      </c>
      <c r="K18" s="65" t="n">
        <f aca="false">K9*Assumptions!$D$47*Assumptions!$B$47</f>
        <v>4617</v>
      </c>
      <c r="L18" s="65" t="n">
        <f aca="false">L9*Assumptions!$D$47*Assumptions!$B$47</f>
        <v>5517</v>
      </c>
      <c r="M18" s="65" t="n">
        <f aca="false">M9*Assumptions!$D$47*Assumptions!$B$47</f>
        <v>6588</v>
      </c>
      <c r="N18" s="65" t="n">
        <f aca="false">N9*Assumptions!$D$47*Assumptions!$B$47</f>
        <v>7875</v>
      </c>
      <c r="O18" s="79" t="n">
        <f aca="false">SUM(C18:N18)</f>
        <v>40005</v>
      </c>
    </row>
    <row r="19" customFormat="false" ht="15.75" hidden="false" customHeight="false" outlineLevel="0" collapsed="false">
      <c r="A19" s="49" t="s">
        <v>613</v>
      </c>
      <c r="B19" s="78" t="s">
        <v>599</v>
      </c>
      <c r="C19" s="65" t="n">
        <f aca="false">C9*Assumptions!$D$48*Assumptions!$B$48</f>
        <v>0</v>
      </c>
      <c r="D19" s="65" t="n">
        <f aca="false">D9*Assumptions!$D$48*Assumptions!$B$48</f>
        <v>0</v>
      </c>
      <c r="E19" s="65" t="n">
        <f aca="false">E9*Assumptions!$D$48*Assumptions!$B$48</f>
        <v>2021.25</v>
      </c>
      <c r="F19" s="65" t="n">
        <f aca="false">F9*Assumptions!$D$48*Assumptions!$B$48</f>
        <v>2535.75</v>
      </c>
      <c r="G19" s="65" t="n">
        <f aca="false">G9*Assumptions!$D$48*Assumptions!$B$48</f>
        <v>3074.75</v>
      </c>
      <c r="H19" s="65" t="n">
        <f aca="false">H9*Assumptions!$D$48*Assumptions!$B$48</f>
        <v>3687.25</v>
      </c>
      <c r="I19" s="65" t="n">
        <f aca="false">I9*Assumptions!$D$48*Assumptions!$B$48</f>
        <v>4397.75</v>
      </c>
      <c r="J19" s="65" t="n">
        <f aca="false">J9*Assumptions!$D$48*Assumptions!$B$48</f>
        <v>5255.25</v>
      </c>
      <c r="K19" s="65" t="n">
        <f aca="false">K9*Assumptions!$D$48*Assumptions!$B$48</f>
        <v>6284.25</v>
      </c>
      <c r="L19" s="65" t="n">
        <f aca="false">L9*Assumptions!$D$48*Assumptions!$B$48</f>
        <v>7509.25</v>
      </c>
      <c r="M19" s="65" t="n">
        <f aca="false">M9*Assumptions!$D$48*Assumptions!$B$48</f>
        <v>8967</v>
      </c>
      <c r="N19" s="65" t="n">
        <f aca="false">N9*Assumptions!$D$48*Assumptions!$B$48</f>
        <v>10718.75</v>
      </c>
      <c r="O19" s="79" t="n">
        <f aca="false">SUM(C19:N19)</f>
        <v>54451.25</v>
      </c>
    </row>
    <row r="20" customFormat="false" ht="15.75" hidden="false" customHeight="false" outlineLevel="0" collapsed="false">
      <c r="A20" s="49" t="s">
        <v>614</v>
      </c>
      <c r="B20" s="78" t="s">
        <v>599</v>
      </c>
      <c r="C20" s="65" t="n">
        <f aca="false">C9*Assumptions!$D$49*Assumptions!$B$49</f>
        <v>0</v>
      </c>
      <c r="D20" s="65" t="n">
        <f aca="false">D9*Assumptions!$D$49*Assumptions!$B$49</f>
        <v>0</v>
      </c>
      <c r="E20" s="65" t="n">
        <f aca="false">E9*Assumptions!$D$49*Assumptions!$B$49</f>
        <v>1815</v>
      </c>
      <c r="F20" s="65" t="n">
        <f aca="false">F9*Assumptions!$D$49*Assumptions!$B$49</f>
        <v>2277</v>
      </c>
      <c r="G20" s="65" t="n">
        <f aca="false">G9*Assumptions!$D$49*Assumptions!$B$49</f>
        <v>2761</v>
      </c>
      <c r="H20" s="65" t="n">
        <f aca="false">H9*Assumptions!$D$49*Assumptions!$B$49</f>
        <v>3311</v>
      </c>
      <c r="I20" s="65" t="n">
        <f aca="false">I9*Assumptions!$D$49*Assumptions!$B$49</f>
        <v>3949</v>
      </c>
      <c r="J20" s="65" t="n">
        <f aca="false">J9*Assumptions!$D$49*Assumptions!$B$49</f>
        <v>4719</v>
      </c>
      <c r="K20" s="65" t="n">
        <f aca="false">K9*Assumptions!$D$49*Assumptions!$B$49</f>
        <v>5643</v>
      </c>
      <c r="L20" s="65" t="n">
        <f aca="false">L9*Assumptions!$D$49*Assumptions!$B$49</f>
        <v>6743</v>
      </c>
      <c r="M20" s="65" t="n">
        <f aca="false">M9*Assumptions!$D$49*Assumptions!$B$49</f>
        <v>8052</v>
      </c>
      <c r="N20" s="65" t="n">
        <f aca="false">N9*Assumptions!$D$49*Assumptions!$B$49</f>
        <v>9625</v>
      </c>
      <c r="O20" s="79" t="n">
        <f aca="false">SUM(C20:N20)</f>
        <v>48895</v>
      </c>
    </row>
    <row r="21" customFormat="false" ht="15.75" hidden="false" customHeight="false" outlineLevel="0" collapsed="false">
      <c r="A21" s="52" t="s">
        <v>615</v>
      </c>
      <c r="B21" s="78" t="s">
        <v>606</v>
      </c>
      <c r="C21" s="79" t="n">
        <f aca="false">SUM(C16:C20)</f>
        <v>0</v>
      </c>
      <c r="D21" s="79" t="n">
        <f aca="false">SUM(D16:D20)</f>
        <v>1880</v>
      </c>
      <c r="E21" s="79" t="n">
        <f aca="false">SUM(E16:E20)</f>
        <v>5881.25</v>
      </c>
      <c r="F21" s="79" t="n">
        <f aca="false">SUM(F16:F20)</f>
        <v>7265.75</v>
      </c>
      <c r="G21" s="79" t="n">
        <f aca="false">SUM(G16:G20)</f>
        <v>8774.75</v>
      </c>
      <c r="H21" s="79" t="n">
        <f aca="false">SUM(H16:H20)</f>
        <v>10507.25</v>
      </c>
      <c r="I21" s="79" t="n">
        <f aca="false">SUM(I16:I20)</f>
        <v>12537.75</v>
      </c>
      <c r="J21" s="79" t="n">
        <f aca="false">SUM(J16:J20)</f>
        <v>14985.25</v>
      </c>
      <c r="K21" s="79" t="n">
        <f aca="false">SUM(K16:K20)</f>
        <v>17914.25</v>
      </c>
      <c r="L21" s="79" t="n">
        <f aca="false">SUM(L16:L20)</f>
        <v>21409.25</v>
      </c>
      <c r="M21" s="79" t="n">
        <f aca="false">SUM(M16:M20)</f>
        <v>25557</v>
      </c>
      <c r="N21" s="79" t="n">
        <f aca="false">SUM(N16:N20)</f>
        <v>30548.75</v>
      </c>
      <c r="O21" s="79" t="n">
        <f aca="false">SUM(C21:N21)</f>
        <v>157261.25</v>
      </c>
    </row>
    <row r="23" customFormat="false" ht="15.75" hidden="false" customHeight="false" outlineLevel="0" collapsed="false">
      <c r="A23" s="52" t="s">
        <v>616</v>
      </c>
      <c r="B23" s="78" t="s">
        <v>606</v>
      </c>
      <c r="C23" s="63" t="n">
        <f aca="false">C21</f>
        <v>0</v>
      </c>
      <c r="D23" s="63" t="n">
        <f aca="false">D21</f>
        <v>1880</v>
      </c>
      <c r="E23" s="63" t="n">
        <f aca="false">E21</f>
        <v>5881.25</v>
      </c>
      <c r="F23" s="63" t="n">
        <f aca="false">F21</f>
        <v>7265.75</v>
      </c>
      <c r="G23" s="63" t="n">
        <f aca="false">G21</f>
        <v>8774.75</v>
      </c>
      <c r="H23" s="63" t="n">
        <f aca="false">H21</f>
        <v>10507.25</v>
      </c>
      <c r="I23" s="63" t="n">
        <f aca="false">I21</f>
        <v>12537.75</v>
      </c>
      <c r="J23" s="63" t="n">
        <f aca="false">J21</f>
        <v>14985.25</v>
      </c>
      <c r="K23" s="63" t="n">
        <f aca="false">K21</f>
        <v>17914.25</v>
      </c>
      <c r="L23" s="63" t="n">
        <f aca="false">L21</f>
        <v>21409.25</v>
      </c>
      <c r="M23" s="63" t="n">
        <f aca="false">M21</f>
        <v>25557</v>
      </c>
      <c r="N23" s="63" t="n">
        <f aca="false">N21</f>
        <v>30548.75</v>
      </c>
      <c r="O23" s="63" t="n">
        <f aca="false">SUM(C23:N23)</f>
        <v>157261.25</v>
      </c>
    </row>
    <row r="25" customFormat="false" ht="15.75" hidden="false" customHeight="false" outlineLevel="0" collapsed="false">
      <c r="A25" s="72" t="s">
        <v>617</v>
      </c>
    </row>
    <row r="26" customFormat="false" ht="15.75" hidden="false" customHeight="false" outlineLevel="0" collapsed="false">
      <c r="A26" s="49" t="s">
        <v>618</v>
      </c>
      <c r="B26" s="78" t="s">
        <v>599</v>
      </c>
      <c r="C26" s="75" t="n">
        <f aca="false">C23*Assumptions!$B$13*Assumptions!$B$14</f>
        <v>0</v>
      </c>
      <c r="D26" s="75" t="n">
        <f aca="false">D23*Assumptions!$B$13*Assumptions!$B$14</f>
        <v>19.74</v>
      </c>
      <c r="E26" s="75" t="n">
        <f aca="false">E23*Assumptions!$B$13*Assumptions!$B$14</f>
        <v>61.753125</v>
      </c>
      <c r="F26" s="75" t="n">
        <f aca="false">F23*Assumptions!$B$13*Assumptions!$B$14</f>
        <v>76.290375</v>
      </c>
      <c r="G26" s="75" t="n">
        <f aca="false">G23*Assumptions!$B$13*Assumptions!$B$14</f>
        <v>92.134875</v>
      </c>
      <c r="H26" s="75" t="n">
        <f aca="false">H23*Assumptions!$B$13*Assumptions!$B$14</f>
        <v>110.326125</v>
      </c>
      <c r="I26" s="75" t="n">
        <f aca="false">I23*Assumptions!$B$13*Assumptions!$B$14</f>
        <v>131.646375</v>
      </c>
      <c r="J26" s="75" t="n">
        <f aca="false">J23*Assumptions!$B$13*Assumptions!$B$14</f>
        <v>157.345125</v>
      </c>
      <c r="K26" s="75" t="n">
        <f aca="false">K23*Assumptions!$B$13*Assumptions!$B$14</f>
        <v>188.099625</v>
      </c>
      <c r="L26" s="75" t="n">
        <f aca="false">L23*Assumptions!$B$13*Assumptions!$B$14</f>
        <v>224.797125</v>
      </c>
      <c r="M26" s="75" t="n">
        <f aca="false">M23*Assumptions!$B$13*Assumptions!$B$14</f>
        <v>268.3485</v>
      </c>
      <c r="N26" s="75" t="n">
        <f aca="false">N23*Assumptions!$B$13*Assumptions!$B$14</f>
        <v>320.761875</v>
      </c>
      <c r="O26" s="79" t="n">
        <f aca="false">SUM(C26:N26)</f>
        <v>1651.243125</v>
      </c>
    </row>
    <row r="27" customFormat="false" ht="15.75" hidden="false" customHeight="false" outlineLevel="0" collapsed="false">
      <c r="A27" s="49" t="s">
        <v>619</v>
      </c>
      <c r="B27" s="78" t="s">
        <v>599</v>
      </c>
      <c r="C27" s="75" t="n">
        <f aca="false">C11*Assumptions!$B$59</f>
        <v>2162.5</v>
      </c>
      <c r="D27" s="75" t="n">
        <f aca="false">D11*Assumptions!$B$59</f>
        <v>2274.95</v>
      </c>
      <c r="E27" s="75" t="n">
        <f aca="false">E11*Assumptions!$B$59</f>
        <v>2595</v>
      </c>
      <c r="F27" s="75" t="n">
        <f aca="false">F11*Assumptions!$B$59</f>
        <v>3079.4</v>
      </c>
      <c r="G27" s="75" t="n">
        <f aca="false">G11*Assumptions!$B$59</f>
        <v>3684.9</v>
      </c>
      <c r="H27" s="75" t="n">
        <f aca="false">H11*Assumptions!$B$59</f>
        <v>4402.85</v>
      </c>
      <c r="I27" s="75" t="n">
        <f aca="false">I11*Assumptions!$B$59</f>
        <v>5259.2</v>
      </c>
      <c r="J27" s="75" t="n">
        <f aca="false">J11*Assumptions!$B$59</f>
        <v>6279.9</v>
      </c>
      <c r="K27" s="75" t="n">
        <f aca="false">K11*Assumptions!$B$59</f>
        <v>7508.2</v>
      </c>
      <c r="L27" s="75" t="n">
        <f aca="false">L11*Assumptions!$B$59</f>
        <v>8970.05</v>
      </c>
      <c r="M27" s="75" t="n">
        <f aca="false">M11*Assumptions!$B$59</f>
        <v>10708.7</v>
      </c>
      <c r="N27" s="75" t="n">
        <f aca="false">N11*Assumptions!$B$59</f>
        <v>12793.35</v>
      </c>
      <c r="O27" s="79" t="n">
        <f aca="false">SUM(C27:N27)</f>
        <v>69719</v>
      </c>
    </row>
    <row r="28" customFormat="false" ht="15.75" hidden="false" customHeight="false" outlineLevel="0" collapsed="false">
      <c r="A28" s="49" t="s">
        <v>620</v>
      </c>
      <c r="B28" s="78" t="s">
        <v>621</v>
      </c>
      <c r="C28" s="65" t="n">
        <f aca="false">Assumptions!$B$63*(C11/Assumptions!$B$28)^0.5</f>
        <v>800</v>
      </c>
      <c r="D28" s="65" t="n">
        <f aca="false">Assumptions!$B$63*(D11/Assumptions!$B$28)^0.5</f>
        <v>820.536409917317</v>
      </c>
      <c r="E28" s="65" t="n">
        <f aca="false">Assumptions!$B$63*(E11/Assumptions!$B$28)^0.5</f>
        <v>876.356092008266</v>
      </c>
      <c r="F28" s="65" t="n">
        <f aca="false">Assumptions!$B$63*(F11/Assumptions!$B$28)^0.5</f>
        <v>954.651768971283</v>
      </c>
      <c r="G28" s="65" t="n">
        <f aca="false">Assumptions!$B$63*(G11/Assumptions!$B$28)^0.5</f>
        <v>1044.29880781317</v>
      </c>
      <c r="H28" s="65" t="n">
        <f aca="false">Assumptions!$B$63*(H11/Assumptions!$B$28)^0.5</f>
        <v>1141.50777483117</v>
      </c>
      <c r="I28" s="65" t="n">
        <f aca="false">Assumptions!$B$63*(I11/Assumptions!$B$28)^0.5</f>
        <v>1247.58967613555</v>
      </c>
      <c r="J28" s="65" t="n">
        <f aca="false">Assumptions!$B$63*(J11/Assumptions!$B$28)^0.5</f>
        <v>1363.29013786501</v>
      </c>
      <c r="K28" s="65" t="n">
        <f aca="false">Assumptions!$B$63*(K11/Assumptions!$B$28)^0.5</f>
        <v>1490.66428145307</v>
      </c>
      <c r="L28" s="65" t="n">
        <f aca="false">Assumptions!$B$63*(L11/Assumptions!$B$28)^0.5</f>
        <v>1629.33115111692</v>
      </c>
      <c r="M28" s="65" t="n">
        <f aca="false">Assumptions!$B$63*(M11/Assumptions!$B$28)^0.5</f>
        <v>1780.24717384974</v>
      </c>
      <c r="N28" s="65" t="n">
        <f aca="false">Assumptions!$B$63*(N11/Assumptions!$B$28)^0.5</f>
        <v>1945.82630262827</v>
      </c>
      <c r="O28" s="79" t="n">
        <f aca="false">SUM(C28:N28)</f>
        <v>15094.2995765898</v>
      </c>
    </row>
    <row r="29" customFormat="false" ht="15.75" hidden="false" customHeight="false" outlineLevel="0" collapsed="false">
      <c r="A29" s="49" t="s">
        <v>622</v>
      </c>
      <c r="B29" s="78" t="s">
        <v>381</v>
      </c>
      <c r="C29" s="65" t="n">
        <f aca="false">Assumptions!$B$64*(C11/Assumptions!$B$28)</f>
        <v>400</v>
      </c>
      <c r="D29" s="65" t="n">
        <f aca="false">Assumptions!$B$64*(D11/Assumptions!$B$28)</f>
        <v>420.8</v>
      </c>
      <c r="E29" s="65" t="n">
        <f aca="false">Assumptions!$B$64*(E11/Assumptions!$B$28)</f>
        <v>480</v>
      </c>
      <c r="F29" s="65" t="n">
        <f aca="false">Assumptions!$B$64*(F11/Assumptions!$B$28)</f>
        <v>569.6</v>
      </c>
      <c r="G29" s="65" t="n">
        <f aca="false">Assumptions!$B$64*(G11/Assumptions!$B$28)</f>
        <v>681.6</v>
      </c>
      <c r="H29" s="65" t="n">
        <f aca="false">Assumptions!$B$64*(H11/Assumptions!$B$28)</f>
        <v>814.4</v>
      </c>
      <c r="I29" s="65" t="n">
        <f aca="false">Assumptions!$B$64*(I11/Assumptions!$B$28)</f>
        <v>972.8</v>
      </c>
      <c r="J29" s="65" t="n">
        <f aca="false">Assumptions!$B$64*(J11/Assumptions!$B$28)</f>
        <v>1161.6</v>
      </c>
      <c r="K29" s="65" t="n">
        <f aca="false">Assumptions!$B$64*(K11/Assumptions!$B$28)</f>
        <v>1388.8</v>
      </c>
      <c r="L29" s="65" t="n">
        <f aca="false">Assumptions!$B$64*(L11/Assumptions!$B$28)</f>
        <v>1659.2</v>
      </c>
      <c r="M29" s="65" t="n">
        <f aca="false">Assumptions!$B$64*(M11/Assumptions!$B$28)</f>
        <v>1980.8</v>
      </c>
      <c r="N29" s="65" t="n">
        <f aca="false">Assumptions!$B$64*(N11/Assumptions!$B$28)</f>
        <v>2366.4</v>
      </c>
      <c r="O29" s="79" t="n">
        <f aca="false">SUM(C29:N29)</f>
        <v>12896</v>
      </c>
    </row>
    <row r="30" customFormat="false" ht="15.75" hidden="false" customHeight="false" outlineLevel="0" collapsed="false">
      <c r="A30" s="49" t="s">
        <v>623</v>
      </c>
      <c r="B30" s="78" t="s">
        <v>381</v>
      </c>
      <c r="C30" s="65" t="n">
        <f aca="false">Assumptions!$B$65*(C11/Assumptions!$B$28)</f>
        <v>200</v>
      </c>
      <c r="D30" s="65" t="n">
        <f aca="false">Assumptions!$B$65*(D11/Assumptions!$B$28)</f>
        <v>210.4</v>
      </c>
      <c r="E30" s="65" t="n">
        <f aca="false">Assumptions!$B$65*(E11/Assumptions!$B$28)</f>
        <v>240</v>
      </c>
      <c r="F30" s="65" t="n">
        <f aca="false">Assumptions!$B$65*(F11/Assumptions!$B$28)</f>
        <v>284.8</v>
      </c>
      <c r="G30" s="65" t="n">
        <f aca="false">Assumptions!$B$65*(G11/Assumptions!$B$28)</f>
        <v>340.8</v>
      </c>
      <c r="H30" s="65" t="n">
        <f aca="false">Assumptions!$B$65*(H11/Assumptions!$B$28)</f>
        <v>407.2</v>
      </c>
      <c r="I30" s="65" t="n">
        <f aca="false">Assumptions!$B$65*(I11/Assumptions!$B$28)</f>
        <v>486.4</v>
      </c>
      <c r="J30" s="65" t="n">
        <f aca="false">Assumptions!$B$65*(J11/Assumptions!$B$28)</f>
        <v>580.8</v>
      </c>
      <c r="K30" s="65" t="n">
        <f aca="false">Assumptions!$B$65*(K11/Assumptions!$B$28)</f>
        <v>694.4</v>
      </c>
      <c r="L30" s="65" t="n">
        <f aca="false">Assumptions!$B$65*(L11/Assumptions!$B$28)</f>
        <v>829.6</v>
      </c>
      <c r="M30" s="65" t="n">
        <f aca="false">Assumptions!$B$65*(M11/Assumptions!$B$28)</f>
        <v>990.4</v>
      </c>
      <c r="N30" s="65" t="n">
        <f aca="false">Assumptions!$B$65*(N11/Assumptions!$B$28)</f>
        <v>1183.2</v>
      </c>
      <c r="O30" s="79" t="n">
        <f aca="false">SUM(C30:N30)</f>
        <v>6448</v>
      </c>
    </row>
    <row r="31" customFormat="false" ht="15.75" hidden="false" customHeight="false" outlineLevel="0" collapsed="false">
      <c r="A31" s="49" t="s">
        <v>624</v>
      </c>
      <c r="B31" s="78" t="s">
        <v>625</v>
      </c>
      <c r="C31" s="65" t="n">
        <f aca="false">C6*Assumptions!$B$67</f>
        <v>3750</v>
      </c>
      <c r="D31" s="65" t="n">
        <f aca="false">D6*Assumptions!$B$67</f>
        <v>1125</v>
      </c>
      <c r="E31" s="65" t="n">
        <f aca="false">E6*Assumptions!$B$67</f>
        <v>1185</v>
      </c>
      <c r="F31" s="65" t="n">
        <f aca="false">F6*Assumptions!$B$67</f>
        <v>1350</v>
      </c>
      <c r="G31" s="65" t="n">
        <f aca="false">G6*Assumptions!$B$67</f>
        <v>1605</v>
      </c>
      <c r="H31" s="65" t="n">
        <f aca="false">H6*Assumptions!$B$67</f>
        <v>1920</v>
      </c>
      <c r="I31" s="65" t="n">
        <f aca="false">I6*Assumptions!$B$67</f>
        <v>2295</v>
      </c>
      <c r="J31" s="65" t="n">
        <f aca="false">J6*Assumptions!$B$67</f>
        <v>2730</v>
      </c>
      <c r="K31" s="65" t="n">
        <f aca="false">K6*Assumptions!$B$67</f>
        <v>3270</v>
      </c>
      <c r="L31" s="65" t="n">
        <f aca="false">L6*Assumptions!$B$67</f>
        <v>3900</v>
      </c>
      <c r="M31" s="65" t="n">
        <f aca="false">M6*Assumptions!$B$67</f>
        <v>4665</v>
      </c>
      <c r="N31" s="65" t="n">
        <f aca="false">N6*Assumptions!$B$67</f>
        <v>5565</v>
      </c>
      <c r="O31" s="79" t="n">
        <f aca="false">SUM(C31:N31)</f>
        <v>33360</v>
      </c>
    </row>
    <row r="32" customFormat="false" ht="15.75" hidden="false" customHeight="false" outlineLevel="0" collapsed="false">
      <c r="A32" s="52" t="s">
        <v>626</v>
      </c>
      <c r="B32" s="78" t="s">
        <v>606</v>
      </c>
      <c r="C32" s="79" t="n">
        <f aca="false">SUM(C26:C31)</f>
        <v>7312.5</v>
      </c>
      <c r="D32" s="79" t="n">
        <f aca="false">SUM(D26:D31)</f>
        <v>4871.42640991732</v>
      </c>
      <c r="E32" s="79" t="n">
        <f aca="false">SUM(E26:E31)</f>
        <v>5438.10921700827</v>
      </c>
      <c r="F32" s="79" t="n">
        <f aca="false">SUM(F26:F31)</f>
        <v>6314.74214397128</v>
      </c>
      <c r="G32" s="79" t="n">
        <f aca="false">SUM(G26:G31)</f>
        <v>7448.73368281317</v>
      </c>
      <c r="H32" s="79" t="n">
        <f aca="false">SUM(H26:H31)</f>
        <v>8796.28389983117</v>
      </c>
      <c r="I32" s="79" t="n">
        <f aca="false">SUM(I26:I31)</f>
        <v>10392.6360511355</v>
      </c>
      <c r="J32" s="79" t="n">
        <f aca="false">SUM(J26:J31)</f>
        <v>12272.935262865</v>
      </c>
      <c r="K32" s="79" t="n">
        <f aca="false">SUM(K26:K31)</f>
        <v>14540.1639064531</v>
      </c>
      <c r="L32" s="79" t="n">
        <f aca="false">SUM(L26:L31)</f>
        <v>17212.9782761169</v>
      </c>
      <c r="M32" s="79" t="n">
        <f aca="false">SUM(M26:M31)</f>
        <v>20393.4956738497</v>
      </c>
      <c r="N32" s="79" t="n">
        <f aca="false">SUM(N26:N31)</f>
        <v>24174.5381776283</v>
      </c>
      <c r="O32" s="79" t="n">
        <f aca="false">SUM(C32:N32)</f>
        <v>139168.54270159</v>
      </c>
    </row>
    <row r="34" customFormat="false" ht="15.75" hidden="false" customHeight="false" outlineLevel="0" collapsed="false">
      <c r="A34" s="52" t="s">
        <v>627</v>
      </c>
      <c r="B34" s="78" t="s">
        <v>599</v>
      </c>
      <c r="C34" s="79" t="n">
        <f aca="false">C23-C32</f>
        <v>-7312.5</v>
      </c>
      <c r="D34" s="79" t="n">
        <f aca="false">D23-D32</f>
        <v>-2991.42640991732</v>
      </c>
      <c r="E34" s="79" t="n">
        <f aca="false">E23-E32</f>
        <v>443.140782991734</v>
      </c>
      <c r="F34" s="79" t="n">
        <f aca="false">F23-F32</f>
        <v>951.007856028717</v>
      </c>
      <c r="G34" s="79" t="n">
        <f aca="false">G23-G32</f>
        <v>1326.01631718683</v>
      </c>
      <c r="H34" s="79" t="n">
        <f aca="false">H23-H32</f>
        <v>1710.96610016883</v>
      </c>
      <c r="I34" s="79" t="n">
        <f aca="false">I23-I32</f>
        <v>2145.11394886445</v>
      </c>
      <c r="J34" s="79" t="n">
        <f aca="false">J23-J32</f>
        <v>2712.31473713499</v>
      </c>
      <c r="K34" s="79" t="n">
        <f aca="false">K23-K32</f>
        <v>3374.08609354693</v>
      </c>
      <c r="L34" s="79" t="n">
        <f aca="false">L23-L32</f>
        <v>4196.27172388308</v>
      </c>
      <c r="M34" s="79" t="n">
        <f aca="false">M23-M32</f>
        <v>5163.50432615025</v>
      </c>
      <c r="N34" s="79" t="n">
        <f aca="false">N23-N32</f>
        <v>6374.21182237173</v>
      </c>
      <c r="O34" s="79" t="n">
        <f aca="false">SUM(C34:N34)</f>
        <v>18092.7072984102</v>
      </c>
    </row>
    <row r="35" customFormat="false" ht="15.75" hidden="false" customHeight="false" outlineLevel="0" collapsed="false">
      <c r="A35" s="49" t="s">
        <v>628</v>
      </c>
      <c r="B35" s="78" t="s">
        <v>277</v>
      </c>
      <c r="C35" s="71" t="n">
        <f aca="false">IF(C23=0,0,C34/C23)</f>
        <v>0</v>
      </c>
      <c r="D35" s="71" t="n">
        <f aca="false">IF(D23=0,0,D34/D23)</f>
        <v>-1.59118426059432</v>
      </c>
      <c r="E35" s="71" t="n">
        <f aca="false">IF(E23=0,0,E34/E23)</f>
        <v>0.075348060870008</v>
      </c>
      <c r="F35" s="71" t="n">
        <f aca="false">IF(F23=0,0,F34/F23)</f>
        <v>0.130889151984133</v>
      </c>
      <c r="G35" s="71" t="n">
        <f aca="false">IF(G23=0,0,G34/G23)</f>
        <v>0.151117275955079</v>
      </c>
      <c r="H35" s="71" t="n">
        <f aca="false">IF(H23=0,0,H34/H23)</f>
        <v>0.162836717520648</v>
      </c>
      <c r="I35" s="71" t="n">
        <f aca="false">IF(I23=0,0,I34/I23)</f>
        <v>0.171092416810389</v>
      </c>
      <c r="J35" s="71" t="n">
        <f aca="false">IF(J23=0,0,J34/J23)</f>
        <v>0.180998964791044</v>
      </c>
      <c r="K35" s="71" t="n">
        <f aca="false">IF(K23=0,0,K34/K23)</f>
        <v>0.188346489166274</v>
      </c>
      <c r="L35" s="71" t="n">
        <f aca="false">IF(L23=0,0,L34/L23)</f>
        <v>0.196002742921077</v>
      </c>
      <c r="M35" s="71" t="n">
        <f aca="false">IF(M23=0,0,M34/M23)</f>
        <v>0.202038749702635</v>
      </c>
      <c r="N35" s="71" t="n">
        <f aca="false">IF(N23=0,0,N34/N23)</f>
        <v>0.208657042346143</v>
      </c>
      <c r="O35" s="83" t="n">
        <f aca="false">IF(O23=0,0,O34/O23)</f>
        <v>0.115048731320718</v>
      </c>
    </row>
    <row r="37" customFormat="false" ht="15.75" hidden="false" customHeight="false" outlineLevel="0" collapsed="false">
      <c r="A37" s="72" t="s">
        <v>629</v>
      </c>
    </row>
    <row r="38" customFormat="false" ht="15.75" hidden="false" customHeight="false" outlineLevel="0" collapsed="false">
      <c r="A38" s="49" t="s">
        <v>630</v>
      </c>
      <c r="B38" s="78" t="s">
        <v>394</v>
      </c>
      <c r="C38" s="65" t="n">
        <f aca="false">Assumptions!$C$87</f>
        <v>7500</v>
      </c>
      <c r="D38" s="65" t="n">
        <f aca="false">Assumptions!$C$87</f>
        <v>7500</v>
      </c>
      <c r="E38" s="65" t="n">
        <f aca="false">Assumptions!$C$87</f>
        <v>7500</v>
      </c>
      <c r="F38" s="65" t="n">
        <f aca="false">Assumptions!$C$87</f>
        <v>7500</v>
      </c>
      <c r="G38" s="65" t="n">
        <f aca="false">Assumptions!$C$87</f>
        <v>7500</v>
      </c>
      <c r="H38" s="65" t="n">
        <f aca="false">Assumptions!$C$87</f>
        <v>7500</v>
      </c>
      <c r="I38" s="65" t="n">
        <f aca="false">Assumptions!$C$87</f>
        <v>7500</v>
      </c>
      <c r="J38" s="65" t="n">
        <f aca="false">Assumptions!$C$87</f>
        <v>7500</v>
      </c>
      <c r="K38" s="65" t="n">
        <f aca="false">Assumptions!$C$87</f>
        <v>7500</v>
      </c>
      <c r="L38" s="65" t="n">
        <f aca="false">Assumptions!$C$87</f>
        <v>7500</v>
      </c>
      <c r="M38" s="65" t="n">
        <f aca="false">Assumptions!$C$87</f>
        <v>7500</v>
      </c>
      <c r="N38" s="65" t="n">
        <f aca="false">Assumptions!$C$87</f>
        <v>7500</v>
      </c>
      <c r="O38" s="79" t="n">
        <f aca="false">SUM(C38:N38)</f>
        <v>90000</v>
      </c>
    </row>
    <row r="39" customFormat="false" ht="15.75" hidden="false" customHeight="false" outlineLevel="0" collapsed="false">
      <c r="A39" s="49" t="s">
        <v>631</v>
      </c>
      <c r="B39" s="78" t="s">
        <v>621</v>
      </c>
      <c r="C39" s="65" t="n">
        <f aca="false">Assumptions!$B$66*(C11/Assumptions!$B$28)</f>
        <v>1500</v>
      </c>
      <c r="D39" s="65" t="n">
        <f aca="false">Assumptions!$B$66*(D11/Assumptions!$B$28)</f>
        <v>1578</v>
      </c>
      <c r="E39" s="65" t="n">
        <f aca="false">Assumptions!$B$66*(E11/Assumptions!$B$28)</f>
        <v>1800</v>
      </c>
      <c r="F39" s="65" t="n">
        <f aca="false">Assumptions!$B$66*(F11/Assumptions!$B$28)</f>
        <v>2136</v>
      </c>
      <c r="G39" s="65" t="n">
        <f aca="false">Assumptions!$B$66*(G11/Assumptions!$B$28)</f>
        <v>2556</v>
      </c>
      <c r="H39" s="65" t="n">
        <f aca="false">Assumptions!$B$66*(H11/Assumptions!$B$28)</f>
        <v>3054</v>
      </c>
      <c r="I39" s="65" t="n">
        <f aca="false">Assumptions!$B$66*(I11/Assumptions!$B$28)</f>
        <v>3648</v>
      </c>
      <c r="J39" s="65" t="n">
        <f aca="false">Assumptions!$B$66*(J11/Assumptions!$B$28)</f>
        <v>4356</v>
      </c>
      <c r="K39" s="65" t="n">
        <f aca="false">Assumptions!$B$66*(K11/Assumptions!$B$28)</f>
        <v>5208</v>
      </c>
      <c r="L39" s="65" t="n">
        <f aca="false">Assumptions!$B$66*(L11/Assumptions!$B$28)</f>
        <v>6222</v>
      </c>
      <c r="M39" s="65" t="n">
        <f aca="false">Assumptions!$B$66*(M11/Assumptions!$B$28)</f>
        <v>7428</v>
      </c>
      <c r="N39" s="65" t="n">
        <f aca="false">Assumptions!$B$66*(N11/Assumptions!$B$28)</f>
        <v>8874</v>
      </c>
      <c r="O39" s="79" t="n">
        <f aca="false">SUM(C39:N39)</f>
        <v>48360</v>
      </c>
    </row>
    <row r="40" customFormat="false" ht="15.75" hidden="false" customHeight="false" outlineLevel="0" collapsed="false">
      <c r="A40" s="49" t="s">
        <v>632</v>
      </c>
      <c r="B40" s="78" t="s">
        <v>381</v>
      </c>
      <c r="C40" s="65" t="n">
        <f aca="false">C6*Assumptions!$B$68</f>
        <v>7500</v>
      </c>
      <c r="D40" s="65" t="n">
        <f aca="false">D6*Assumptions!$B$68</f>
        <v>2250</v>
      </c>
      <c r="E40" s="65" t="n">
        <f aca="false">E6*Assumptions!$B$68</f>
        <v>2370</v>
      </c>
      <c r="F40" s="65" t="n">
        <f aca="false">F6*Assumptions!$B$68</f>
        <v>2700</v>
      </c>
      <c r="G40" s="65" t="n">
        <f aca="false">G6*Assumptions!$B$68</f>
        <v>3210</v>
      </c>
      <c r="H40" s="65" t="n">
        <f aca="false">H6*Assumptions!$B$68</f>
        <v>3840</v>
      </c>
      <c r="I40" s="65" t="n">
        <f aca="false">I6*Assumptions!$B$68</f>
        <v>4590</v>
      </c>
      <c r="J40" s="65" t="n">
        <f aca="false">J6*Assumptions!$B$68</f>
        <v>5460</v>
      </c>
      <c r="K40" s="65" t="n">
        <f aca="false">K6*Assumptions!$B$68</f>
        <v>6540</v>
      </c>
      <c r="L40" s="65" t="n">
        <f aca="false">L6*Assumptions!$B$68</f>
        <v>7800</v>
      </c>
      <c r="M40" s="65" t="n">
        <f aca="false">M6*Assumptions!$B$68</f>
        <v>9330</v>
      </c>
      <c r="N40" s="65" t="n">
        <f aca="false">N6*Assumptions!$B$68</f>
        <v>11130</v>
      </c>
      <c r="O40" s="79" t="n">
        <f aca="false">SUM(C40:N40)</f>
        <v>66720</v>
      </c>
    </row>
    <row r="41" customFormat="false" ht="15.75" hidden="false" customHeight="false" outlineLevel="0" collapsed="false">
      <c r="A41" s="49" t="s">
        <v>633</v>
      </c>
      <c r="B41" s="78" t="s">
        <v>394</v>
      </c>
      <c r="C41" s="65" t="n">
        <f aca="false">Assumptions!$B$69</f>
        <v>3000</v>
      </c>
      <c r="D41" s="65" t="n">
        <f aca="false">Assumptions!$B$69</f>
        <v>3000</v>
      </c>
      <c r="E41" s="65" t="n">
        <f aca="false">Assumptions!$B$69</f>
        <v>3000</v>
      </c>
      <c r="F41" s="65" t="n">
        <f aca="false">Assumptions!$B$69</f>
        <v>3000</v>
      </c>
      <c r="G41" s="65" t="n">
        <f aca="false">Assumptions!$B$69</f>
        <v>3000</v>
      </c>
      <c r="H41" s="65" t="n">
        <f aca="false">Assumptions!$B$69</f>
        <v>3000</v>
      </c>
      <c r="I41" s="65" t="n">
        <f aca="false">Assumptions!$B$69</f>
        <v>3000</v>
      </c>
      <c r="J41" s="65" t="n">
        <f aca="false">Assumptions!$B$69</f>
        <v>3000</v>
      </c>
      <c r="K41" s="65" t="n">
        <f aca="false">Assumptions!$B$69</f>
        <v>3000</v>
      </c>
      <c r="L41" s="65" t="n">
        <f aca="false">Assumptions!$B$69</f>
        <v>3000</v>
      </c>
      <c r="M41" s="65" t="n">
        <f aca="false">Assumptions!$B$69</f>
        <v>3000</v>
      </c>
      <c r="N41" s="65" t="n">
        <f aca="false">Assumptions!$B$69</f>
        <v>3000</v>
      </c>
      <c r="O41" s="79" t="n">
        <f aca="false">SUM(C41:N41)</f>
        <v>36000</v>
      </c>
    </row>
    <row r="42" customFormat="false" ht="15.75" hidden="false" customHeight="false" outlineLevel="0" collapsed="false">
      <c r="A42" s="49" t="s">
        <v>634</v>
      </c>
      <c r="B42" s="78" t="s">
        <v>394</v>
      </c>
      <c r="C42" s="65" t="n">
        <f aca="false">Assumptions!$C$98</f>
        <v>13166.6666666667</v>
      </c>
      <c r="D42" s="65" t="n">
        <f aca="false">Assumptions!$C$98</f>
        <v>13166.6666666667</v>
      </c>
      <c r="E42" s="65" t="n">
        <f aca="false">Assumptions!$C$98</f>
        <v>13166.6666666667</v>
      </c>
      <c r="F42" s="65" t="n">
        <f aca="false">Assumptions!$C$98</f>
        <v>13166.6666666667</v>
      </c>
      <c r="G42" s="65" t="n">
        <f aca="false">Assumptions!$C$98</f>
        <v>13166.6666666667</v>
      </c>
      <c r="H42" s="65" t="n">
        <f aca="false">Assumptions!$C$98</f>
        <v>13166.6666666667</v>
      </c>
      <c r="I42" s="65" t="n">
        <f aca="false">Assumptions!$C$98</f>
        <v>13166.6666666667</v>
      </c>
      <c r="J42" s="65" t="n">
        <f aca="false">Assumptions!$C$98</f>
        <v>13166.6666666667</v>
      </c>
      <c r="K42" s="65" t="n">
        <f aca="false">Assumptions!$C$98</f>
        <v>13166.6666666667</v>
      </c>
      <c r="L42" s="65" t="n">
        <f aca="false">Assumptions!$C$98</f>
        <v>13166.6666666667</v>
      </c>
      <c r="M42" s="65" t="n">
        <f aca="false">Assumptions!$C$98</f>
        <v>13166.6666666667</v>
      </c>
      <c r="N42" s="65" t="n">
        <f aca="false">Assumptions!$C$98</f>
        <v>13166.6666666667</v>
      </c>
      <c r="O42" s="79" t="n">
        <f aca="false">SUM(C42:N42)</f>
        <v>158000</v>
      </c>
    </row>
    <row r="43" customFormat="false" ht="15.75" hidden="false" customHeight="false" outlineLevel="0" collapsed="false">
      <c r="A43" s="49" t="s">
        <v>635</v>
      </c>
      <c r="B43" s="78" t="s">
        <v>394</v>
      </c>
      <c r="C43" s="65" t="n">
        <f aca="false">Assumptions!$C$85</f>
        <v>400</v>
      </c>
      <c r="D43" s="65" t="n">
        <f aca="false">Assumptions!$C$85</f>
        <v>400</v>
      </c>
      <c r="E43" s="65" t="n">
        <f aca="false">Assumptions!$C$85</f>
        <v>400</v>
      </c>
      <c r="F43" s="65" t="n">
        <f aca="false">Assumptions!$C$85</f>
        <v>400</v>
      </c>
      <c r="G43" s="65" t="n">
        <f aca="false">Assumptions!$C$85</f>
        <v>400</v>
      </c>
      <c r="H43" s="65" t="n">
        <f aca="false">Assumptions!$C$85</f>
        <v>400</v>
      </c>
      <c r="I43" s="65" t="n">
        <f aca="false">Assumptions!$C$85</f>
        <v>400</v>
      </c>
      <c r="J43" s="65" t="n">
        <f aca="false">Assumptions!$C$85</f>
        <v>400</v>
      </c>
      <c r="K43" s="65" t="n">
        <f aca="false">Assumptions!$C$85</f>
        <v>400</v>
      </c>
      <c r="L43" s="65" t="n">
        <f aca="false">Assumptions!$C$85</f>
        <v>400</v>
      </c>
      <c r="M43" s="65" t="n">
        <f aca="false">Assumptions!$C$85</f>
        <v>400</v>
      </c>
      <c r="N43" s="65" t="n">
        <f aca="false">Assumptions!$C$85</f>
        <v>400</v>
      </c>
      <c r="O43" s="79" t="n">
        <f aca="false">SUM(C43:N43)</f>
        <v>4800</v>
      </c>
    </row>
    <row r="44" customFormat="false" ht="15.75" hidden="false" customHeight="false" outlineLevel="0" collapsed="false">
      <c r="A44" s="80" t="s">
        <v>636</v>
      </c>
      <c r="B44" s="78" t="s">
        <v>637</v>
      </c>
      <c r="C44" s="81" t="n">
        <f aca="false">SUM(C38:C43)*IF(COLUMN(C38)-COLUMN($B$38)&lt;=1,Assumptions!$B$73,IF(COLUMN(C38)-COLUMN($B$38)&lt;=4,Assumptions!$B$74,Assumptions!$B$75))</f>
        <v>4960</v>
      </c>
      <c r="D44" s="81" t="n">
        <f aca="false">SUM(D38:D43)*IF(COLUMN(D38)-COLUMN($B$38)&lt;=1,Assumptions!$B$73,IF(COLUMN(D38)-COLUMN($B$38)&lt;=4,Assumptions!$B$74,Assumptions!$B$75))</f>
        <v>1952.62666666667</v>
      </c>
      <c r="E44" s="81" t="n">
        <f aca="false">SUM(E38:E43)*IF(COLUMN(E38)-COLUMN($B$38)&lt;=1,Assumptions!$B$73,IF(COLUMN(E38)-COLUMN($B$38)&lt;=4,Assumptions!$B$74,Assumptions!$B$75))</f>
        <v>1976.56666666667</v>
      </c>
      <c r="F44" s="81" t="n">
        <f aca="false">SUM(F38:F43)*IF(COLUMN(F38)-COLUMN($B$38)&lt;=1,Assumptions!$B$73,IF(COLUMN(F38)-COLUMN($B$38)&lt;=4,Assumptions!$B$74,Assumptions!$B$75))</f>
        <v>2023.18666666667</v>
      </c>
      <c r="G44" s="81" t="n">
        <f aca="false">SUM(G38:G43)*IF(COLUMN(G38)-COLUMN($B$38)&lt;=1,Assumptions!$B$73,IF(COLUMN(G38)-COLUMN($B$38)&lt;=4,Assumptions!$B$74,Assumptions!$B$75))</f>
        <v>2983.26666666667</v>
      </c>
      <c r="H44" s="81" t="n">
        <f aca="false">SUM(H38:H43)*IF(COLUMN(H38)-COLUMN($B$38)&lt;=1,Assumptions!$B$73,IF(COLUMN(H38)-COLUMN($B$38)&lt;=4,Assumptions!$B$74,Assumptions!$B$75))</f>
        <v>3096.06666666667</v>
      </c>
      <c r="I44" s="81" t="n">
        <f aca="false">SUM(I38:I43)*IF(COLUMN(I38)-COLUMN($B$38)&lt;=1,Assumptions!$B$73,IF(COLUMN(I38)-COLUMN($B$38)&lt;=4,Assumptions!$B$74,Assumptions!$B$75))</f>
        <v>3230.46666666667</v>
      </c>
      <c r="J44" s="81" t="n">
        <f aca="false">SUM(J38:J43)*IF(COLUMN(J38)-COLUMN($B$38)&lt;=1,Assumptions!$B$73,IF(COLUMN(J38)-COLUMN($B$38)&lt;=4,Assumptions!$B$74,Assumptions!$B$75))</f>
        <v>3388.26666666667</v>
      </c>
      <c r="K44" s="81" t="n">
        <f aca="false">SUM(K38:K43)*IF(COLUMN(K38)-COLUMN($B$38)&lt;=1,Assumptions!$B$73,IF(COLUMN(K38)-COLUMN($B$38)&lt;=4,Assumptions!$B$74,Assumptions!$B$75))</f>
        <v>3581.46666666667</v>
      </c>
      <c r="L44" s="81" t="n">
        <f aca="false">SUM(L38:L43)*IF(COLUMN(L38)-COLUMN($B$38)&lt;=1,Assumptions!$B$73,IF(COLUMN(L38)-COLUMN($B$38)&lt;=4,Assumptions!$B$74,Assumptions!$B$75))</f>
        <v>3808.86666666667</v>
      </c>
      <c r="M44" s="81" t="n">
        <f aca="false">SUM(M38:M43)*IF(COLUMN(M38)-COLUMN($B$38)&lt;=1,Assumptions!$B$73,IF(COLUMN(M38)-COLUMN($B$38)&lt;=4,Assumptions!$B$74,Assumptions!$B$75))</f>
        <v>4082.46666666667</v>
      </c>
      <c r="N44" s="81" t="n">
        <f aca="false">SUM(N38:N43)*IF(COLUMN(N38)-COLUMN($B$38)&lt;=1,Assumptions!$B$73,IF(COLUMN(N38)-COLUMN($B$38)&lt;=4,Assumptions!$B$74,Assumptions!$B$75))</f>
        <v>4407.06666666667</v>
      </c>
      <c r="O44" s="82" t="n">
        <f aca="false">SUM(C44:N44)</f>
        <v>39490.3133333333</v>
      </c>
    </row>
    <row r="45" customFormat="false" ht="15.75" hidden="false" customHeight="false" outlineLevel="0" collapsed="false">
      <c r="A45" s="52" t="s">
        <v>638</v>
      </c>
      <c r="B45" s="78" t="s">
        <v>606</v>
      </c>
      <c r="C45" s="79" t="n">
        <f aca="false">SUM(C38:C44)</f>
        <v>38026.6666666667</v>
      </c>
      <c r="D45" s="79" t="n">
        <f aca="false">SUM(D38:D44)</f>
        <v>29847.2933333333</v>
      </c>
      <c r="E45" s="79" t="n">
        <f aca="false">SUM(E38:E44)</f>
        <v>30213.2333333333</v>
      </c>
      <c r="F45" s="79" t="n">
        <f aca="false">SUM(F38:F44)</f>
        <v>30925.8533333333</v>
      </c>
      <c r="G45" s="79" t="n">
        <f aca="false">SUM(G38:G44)</f>
        <v>32815.9333333333</v>
      </c>
      <c r="H45" s="79" t="n">
        <f aca="false">SUM(H38:H44)</f>
        <v>34056.7333333333</v>
      </c>
      <c r="I45" s="79" t="n">
        <f aca="false">SUM(I38:I44)</f>
        <v>35535.1333333333</v>
      </c>
      <c r="J45" s="79" t="n">
        <f aca="false">SUM(J38:J44)</f>
        <v>37270.9333333333</v>
      </c>
      <c r="K45" s="79" t="n">
        <f aca="false">SUM(K38:K44)</f>
        <v>39396.1333333333</v>
      </c>
      <c r="L45" s="79" t="n">
        <f aca="false">SUM(L38:L44)</f>
        <v>41897.5333333333</v>
      </c>
      <c r="M45" s="79" t="n">
        <f aca="false">SUM(M38:M44)</f>
        <v>44907.1333333333</v>
      </c>
      <c r="N45" s="79" t="n">
        <f aca="false">SUM(N38:N44)</f>
        <v>48477.7333333333</v>
      </c>
      <c r="O45" s="79" t="n">
        <f aca="false">SUM(C45:N45)</f>
        <v>443370.313333333</v>
      </c>
    </row>
    <row r="47" customFormat="false" ht="15.75" hidden="false" customHeight="false" outlineLevel="0" collapsed="false">
      <c r="A47" s="52" t="s">
        <v>639</v>
      </c>
      <c r="B47" s="78" t="s">
        <v>599</v>
      </c>
      <c r="C47" s="84" t="n">
        <f aca="false">C34-C45</f>
        <v>-45339.1666666667</v>
      </c>
      <c r="D47" s="84" t="n">
        <f aca="false">D34-D45</f>
        <v>-32838.7197432507</v>
      </c>
      <c r="E47" s="84" t="n">
        <f aca="false">E34-E45</f>
        <v>-29770.0925503416</v>
      </c>
      <c r="F47" s="84" t="n">
        <f aca="false">F34-F45</f>
        <v>-29974.8454773046</v>
      </c>
      <c r="G47" s="84" t="n">
        <f aca="false">G34-G45</f>
        <v>-31489.9170161465</v>
      </c>
      <c r="H47" s="84" t="n">
        <f aca="false">H34-H45</f>
        <v>-32345.7672331645</v>
      </c>
      <c r="I47" s="84" t="n">
        <f aca="false">I34-I45</f>
        <v>-33390.0193844689</v>
      </c>
      <c r="J47" s="84" t="n">
        <f aca="false">J34-J45</f>
        <v>-34558.6185961983</v>
      </c>
      <c r="K47" s="84" t="n">
        <f aca="false">K34-K45</f>
        <v>-36022.0472397864</v>
      </c>
      <c r="L47" s="84" t="n">
        <f aca="false">L34-L45</f>
        <v>-37701.2616094503</v>
      </c>
      <c r="M47" s="84" t="n">
        <f aca="false">M34-M45</f>
        <v>-39743.6290071831</v>
      </c>
      <c r="N47" s="84" t="n">
        <f aca="false">N34-N45</f>
        <v>-42103.5215109616</v>
      </c>
      <c r="O47" s="84" t="n">
        <f aca="false">SUM(C47:N47)</f>
        <v>-425277.606034923</v>
      </c>
    </row>
    <row r="48" customFormat="false" ht="15.75" hidden="false" customHeight="false" outlineLevel="0" collapsed="false">
      <c r="A48" s="49" t="s">
        <v>640</v>
      </c>
      <c r="B48" s="78" t="s">
        <v>277</v>
      </c>
      <c r="C48" s="71" t="n">
        <f aca="false">IF(C23=0,0,C47/C23)</f>
        <v>0</v>
      </c>
      <c r="D48" s="71" t="n">
        <f aca="false">IF(D23=0,0,D47/D23)</f>
        <v>-17.4674041187503</v>
      </c>
      <c r="E48" s="71" t="n">
        <f aca="false">IF(E23=0,0,E47/E23)</f>
        <v>-5.0618648332143</v>
      </c>
      <c r="F48" s="71" t="n">
        <f aca="false">IF(F23=0,0,F47/F23)</f>
        <v>-4.12549915388014</v>
      </c>
      <c r="G48" s="71" t="n">
        <f aca="false">IF(G23=0,0,G47/G23)</f>
        <v>-3.58869677382792</v>
      </c>
      <c r="H48" s="71" t="n">
        <f aca="false">IF(H23=0,0,H47/H23)</f>
        <v>-3.07842368204473</v>
      </c>
      <c r="I48" s="71" t="n">
        <f aca="false">IF(I23=0,0,I47/I23)</f>
        <v>-2.66315881114784</v>
      </c>
      <c r="J48" s="71" t="n">
        <f aca="false">IF(J23=0,0,J47/J23)</f>
        <v>-2.30617564579826</v>
      </c>
      <c r="K48" s="71" t="n">
        <f aca="false">IF(K23=0,0,K47/K23)</f>
        <v>-2.01080409393563</v>
      </c>
      <c r="L48" s="71" t="n">
        <f aca="false">IF(L23=0,0,L47/L23)</f>
        <v>-1.76098002543061</v>
      </c>
      <c r="M48" s="71" t="n">
        <f aca="false">IF(M23=0,0,M47/M23)</f>
        <v>-1.55509758606969</v>
      </c>
      <c r="N48" s="71" t="n">
        <f aca="false">IF(N23=0,0,N47/N23)</f>
        <v>-1.37824040299396</v>
      </c>
      <c r="O48" s="83" t="n">
        <f aca="false">IF(O23=0,0,O47/O23)</f>
        <v>-2.70427461332606</v>
      </c>
    </row>
    <row r="50" customFormat="false" ht="15.75" hidden="false" customHeight="false" outlineLevel="0" collapsed="false">
      <c r="A50" s="49" t="s">
        <v>641</v>
      </c>
      <c r="B50" s="78" t="s">
        <v>394</v>
      </c>
      <c r="C50" s="65" t="n">
        <f aca="false">Assumptions!$B$102/36</f>
        <v>972.222222222222</v>
      </c>
      <c r="D50" s="65" t="n">
        <f aca="false">Assumptions!$B$102/36</f>
        <v>972.222222222222</v>
      </c>
      <c r="E50" s="65" t="n">
        <f aca="false">Assumptions!$B$102/36</f>
        <v>972.222222222222</v>
      </c>
      <c r="F50" s="65" t="n">
        <f aca="false">Assumptions!$B$102/36</f>
        <v>972.222222222222</v>
      </c>
      <c r="G50" s="65" t="n">
        <f aca="false">Assumptions!$B$102/36</f>
        <v>972.222222222222</v>
      </c>
      <c r="H50" s="65" t="n">
        <f aca="false">Assumptions!$B$102/36</f>
        <v>972.222222222222</v>
      </c>
      <c r="I50" s="65" t="n">
        <f aca="false">Assumptions!$B$102/36</f>
        <v>972.222222222222</v>
      </c>
      <c r="J50" s="65" t="n">
        <f aca="false">Assumptions!$B$102/36</f>
        <v>972.222222222222</v>
      </c>
      <c r="K50" s="65" t="n">
        <f aca="false">Assumptions!$B$102/36</f>
        <v>972.222222222222</v>
      </c>
      <c r="L50" s="65" t="n">
        <f aca="false">Assumptions!$B$102/36</f>
        <v>972.222222222222</v>
      </c>
      <c r="M50" s="65" t="n">
        <f aca="false">Assumptions!$B$102/36</f>
        <v>972.222222222222</v>
      </c>
      <c r="N50" s="65" t="n">
        <f aca="false">Assumptions!$B$102/36</f>
        <v>972.222222222222</v>
      </c>
      <c r="O50" s="79" t="n">
        <f aca="false">SUM(C50:N50)</f>
        <v>11666.6666666667</v>
      </c>
    </row>
    <row r="51" customFormat="false" ht="15.75" hidden="false" customHeight="false" outlineLevel="0" collapsed="false">
      <c r="A51" s="49" t="s">
        <v>642</v>
      </c>
      <c r="B51" s="78" t="s">
        <v>394</v>
      </c>
      <c r="C51" s="65" t="n">
        <v>0</v>
      </c>
      <c r="D51" s="65" t="n">
        <v>0</v>
      </c>
      <c r="E51" s="65" t="n">
        <v>0</v>
      </c>
      <c r="F51" s="65" t="n">
        <v>0</v>
      </c>
      <c r="G51" s="65" t="n">
        <v>0</v>
      </c>
      <c r="H51" s="65" t="n">
        <v>0</v>
      </c>
      <c r="I51" s="65" t="n">
        <v>0</v>
      </c>
      <c r="J51" s="65" t="n">
        <v>0</v>
      </c>
      <c r="K51" s="65" t="n">
        <v>0</v>
      </c>
      <c r="L51" s="65" t="n">
        <v>0</v>
      </c>
      <c r="M51" s="65" t="n">
        <v>0</v>
      </c>
      <c r="N51" s="65" t="n">
        <v>0</v>
      </c>
      <c r="O51" s="79" t="n">
        <f aca="false">SUM(C51:N51)</f>
        <v>0</v>
      </c>
    </row>
    <row r="53" customFormat="false" ht="15.75" hidden="false" customHeight="false" outlineLevel="0" collapsed="false">
      <c r="A53" s="52" t="s">
        <v>643</v>
      </c>
      <c r="B53" s="78" t="s">
        <v>599</v>
      </c>
      <c r="C53" s="85" t="n">
        <f aca="false">C47-C50-C51</f>
        <v>-46311.3888888889</v>
      </c>
      <c r="D53" s="85" t="n">
        <f aca="false">D47-D50-D51</f>
        <v>-33810.9419654729</v>
      </c>
      <c r="E53" s="85" t="n">
        <f aca="false">E47-E50-E51</f>
        <v>-30742.3147725638</v>
      </c>
      <c r="F53" s="85" t="n">
        <f aca="false">F47-F50-F51</f>
        <v>-30947.0676995268</v>
      </c>
      <c r="G53" s="85" t="n">
        <f aca="false">G47-G50-G51</f>
        <v>-32462.1392383687</v>
      </c>
      <c r="H53" s="85" t="n">
        <f aca="false">H47-H50-H51</f>
        <v>-33317.9894553867</v>
      </c>
      <c r="I53" s="85" t="n">
        <f aca="false">I47-I50-I51</f>
        <v>-34362.2416066911</v>
      </c>
      <c r="J53" s="85" t="n">
        <f aca="false">J47-J50-J51</f>
        <v>-35530.8408184206</v>
      </c>
      <c r="K53" s="85" t="n">
        <f aca="false">K47-K50-K51</f>
        <v>-36994.2694620086</v>
      </c>
      <c r="L53" s="85" t="n">
        <f aca="false">L47-L50-L51</f>
        <v>-38673.4838316725</v>
      </c>
      <c r="M53" s="85" t="n">
        <f aca="false">M47-M50-M51</f>
        <v>-40715.8512294053</v>
      </c>
      <c r="N53" s="85" t="n">
        <f aca="false">N47-N50-N51</f>
        <v>-43075.7437331838</v>
      </c>
      <c r="O53" s="85" t="n">
        <f aca="false">SUM(C53:N53)</f>
        <v>-436944.27270159</v>
      </c>
    </row>
    <row r="54" customFormat="false" ht="15.75" hidden="false" customHeight="false" outlineLevel="0" collapsed="false">
      <c r="A54" s="49" t="s">
        <v>644</v>
      </c>
      <c r="B54" s="78" t="s">
        <v>277</v>
      </c>
      <c r="C54" s="71" t="n">
        <f aca="false">IF(C23=0,0,C53/C23)</f>
        <v>0</v>
      </c>
      <c r="D54" s="71" t="n">
        <f aca="false">IF(D23=0,0,D53/D23)</f>
        <v>-17.9845435986558</v>
      </c>
      <c r="E54" s="71" t="n">
        <f aca="false">IF(E23=0,0,E53/E23)</f>
        <v>-5.22717360638705</v>
      </c>
      <c r="F54" s="71" t="n">
        <f aca="false">IF(F23=0,0,F53/F23)</f>
        <v>-4.25930808237647</v>
      </c>
      <c r="G54" s="71" t="n">
        <f aca="false">IF(G23=0,0,G53/G23)</f>
        <v>-3.69949448569688</v>
      </c>
      <c r="H54" s="71" t="n">
        <f aca="false">IF(H23=0,0,H53/H23)</f>
        <v>-3.17095238577047</v>
      </c>
      <c r="I54" s="71" t="n">
        <f aca="false">IF(I23=0,0,I53/I23)</f>
        <v>-2.74070240726535</v>
      </c>
      <c r="J54" s="71" t="n">
        <f aca="false">IF(J23=0,0,J53/J23)</f>
        <v>-2.37105425791499</v>
      </c>
      <c r="K54" s="71" t="n">
        <f aca="false">IF(K23=0,0,K53/K23)</f>
        <v>-2.06507498008617</v>
      </c>
      <c r="L54" s="71" t="n">
        <f aca="false">IF(L23=0,0,L53/L23)</f>
        <v>-1.80639134167112</v>
      </c>
      <c r="M54" s="71" t="n">
        <f aca="false">IF(M23=0,0,M53/M23)</f>
        <v>-1.59313891416854</v>
      </c>
      <c r="N54" s="71" t="n">
        <f aca="false">IF(N23=0,0,N53/N23)</f>
        <v>-1.41006567316777</v>
      </c>
      <c r="O54" s="83" t="n">
        <f aca="false">IF(O23=0,0,O53/O23)</f>
        <v>-2.77846114476128</v>
      </c>
    </row>
    <row r="56" customFormat="false" ht="15.75" hidden="false" customHeight="false" outlineLevel="0" collapsed="false">
      <c r="A56" s="52" t="s">
        <v>645</v>
      </c>
      <c r="B56" s="78" t="s">
        <v>599</v>
      </c>
      <c r="C56" s="84" t="n">
        <f aca="false">C53</f>
        <v>-46311.3888888889</v>
      </c>
      <c r="D56" s="84" t="n">
        <f aca="false">C56+D53</f>
        <v>-80122.3308543618</v>
      </c>
      <c r="E56" s="84" t="n">
        <f aca="false">D56+E53</f>
        <v>-110864.645626926</v>
      </c>
      <c r="F56" s="84" t="n">
        <f aca="false">E56+F53</f>
        <v>-141811.713326452</v>
      </c>
      <c r="G56" s="84" t="n">
        <f aca="false">F56+G53</f>
        <v>-174273.852564821</v>
      </c>
      <c r="H56" s="84" t="n">
        <f aca="false">G56+H53</f>
        <v>-207591.842020208</v>
      </c>
      <c r="I56" s="84" t="n">
        <f aca="false">H56+I53</f>
        <v>-241954.083626899</v>
      </c>
      <c r="J56" s="84" t="n">
        <f aca="false">I56+J53</f>
        <v>-277484.92444532</v>
      </c>
      <c r="K56" s="84" t="n">
        <f aca="false">J56+K53</f>
        <v>-314479.193907328</v>
      </c>
      <c r="L56" s="84" t="n">
        <f aca="false">K56+L53</f>
        <v>-353152.677739001</v>
      </c>
      <c r="M56" s="84" t="n">
        <f aca="false">L56+M53</f>
        <v>-393868.528968406</v>
      </c>
      <c r="N56" s="84" t="n">
        <f aca="false">M56+N53</f>
        <v>-436944.27270159</v>
      </c>
      <c r="O56" s="84" t="n">
        <f aca="false">N56</f>
        <v>-436944.27270159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27" colorId="64" zoomScale="115" zoomScaleNormal="115" zoomScalePageLayoutView="100" workbookViewId="0">
      <selection pane="topLeft" activeCell="A1" activeCellId="0" sqref="A1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3.33"/>
    <col collapsed="false" customWidth="true" hidden="false" outlineLevel="0" max="5" min="2" style="0" width="20"/>
    <col collapsed="false" customWidth="true" hidden="false" outlineLevel="0" max="6" min="6" style="0" width="40"/>
    <col collapsed="false" customWidth="true" hidden="false" outlineLevel="0" max="7" min="7" style="0" width="18.33"/>
  </cols>
  <sheetData>
    <row r="1" customFormat="false" ht="18.75" hidden="false" customHeight="true" outlineLevel="0" collapsed="false">
      <c r="A1" s="43" t="s">
        <v>646</v>
      </c>
      <c r="B1" s="44"/>
      <c r="C1" s="44"/>
      <c r="D1" s="44"/>
      <c r="E1" s="44"/>
      <c r="F1" s="44"/>
    </row>
    <row r="2" customFormat="false" ht="15.75" hidden="false" customHeight="false" outlineLevel="0" collapsed="false">
      <c r="A2" s="45" t="s">
        <v>647</v>
      </c>
      <c r="B2" s="46"/>
      <c r="C2" s="46"/>
      <c r="D2" s="46"/>
      <c r="E2" s="46"/>
      <c r="F2" s="46"/>
    </row>
    <row r="4" customFormat="false" ht="15.75" hidden="false" customHeight="false" outlineLevel="0" collapsed="false">
      <c r="A4" s="45" t="s">
        <v>648</v>
      </c>
      <c r="B4" s="46"/>
      <c r="C4" s="46"/>
      <c r="D4" s="46"/>
      <c r="E4" s="46"/>
      <c r="F4" s="46"/>
    </row>
    <row r="5" customFormat="false" ht="15.75" hidden="false" customHeight="false" outlineLevel="0" collapsed="false">
      <c r="A5" s="66" t="s">
        <v>161</v>
      </c>
      <c r="B5" s="67" t="s">
        <v>649</v>
      </c>
      <c r="C5" s="67" t="s">
        <v>650</v>
      </c>
      <c r="D5" s="67" t="s">
        <v>651</v>
      </c>
      <c r="E5" s="67" t="s">
        <v>652</v>
      </c>
    </row>
    <row r="6" customFormat="false" ht="15.75" hidden="false" customHeight="false" outlineLevel="0" collapsed="false">
      <c r="A6" s="49" t="s">
        <v>344</v>
      </c>
      <c r="B6" s="68" t="n">
        <f aca="false">Assumptions!E47</f>
        <v>6</v>
      </c>
      <c r="C6" s="68" t="n">
        <f aca="false">Assumptions!E48</f>
        <v>9</v>
      </c>
      <c r="D6" s="68" t="n">
        <f aca="false">Assumptions!E49</f>
        <v>12</v>
      </c>
      <c r="E6" s="68" t="n">
        <f aca="false">Assumptions!B9</f>
        <v>9</v>
      </c>
    </row>
    <row r="7" customFormat="false" ht="15.75" hidden="false" customHeight="false" outlineLevel="0" collapsed="false">
      <c r="A7" s="49" t="s">
        <v>653</v>
      </c>
      <c r="B7" s="70" t="n">
        <f aca="false">Assumptions!F47</f>
        <v>390</v>
      </c>
      <c r="C7" s="70" t="n">
        <f aca="false">Assumptions!F48</f>
        <v>585</v>
      </c>
      <c r="D7" s="70" t="n">
        <f aca="false">Assumptions!F49</f>
        <v>780</v>
      </c>
      <c r="E7" s="70" t="n">
        <f aca="false">Assumptions!B11</f>
        <v>585</v>
      </c>
    </row>
    <row r="8" customFormat="false" ht="15.75" hidden="false" customHeight="false" outlineLevel="0" collapsed="false">
      <c r="A8" s="49" t="s">
        <v>654</v>
      </c>
      <c r="B8" s="86" t="n">
        <f aca="false">-Assumptions!B22</f>
        <v>-350</v>
      </c>
      <c r="C8" s="86" t="n">
        <f aca="false">-Assumptions!B22</f>
        <v>-350</v>
      </c>
      <c r="D8" s="86" t="n">
        <f aca="false">-Assumptions!B22</f>
        <v>-350</v>
      </c>
      <c r="E8" s="86" t="n">
        <f aca="false">-Assumptions!B22</f>
        <v>-350</v>
      </c>
      <c r="F8" s="49" t="s">
        <v>655</v>
      </c>
    </row>
    <row r="9" customFormat="false" ht="15.75" hidden="false" customHeight="false" outlineLevel="0" collapsed="false">
      <c r="A9" s="49" t="s">
        <v>656</v>
      </c>
      <c r="B9" s="86" t="n">
        <f aca="false">-Assumptions!B47</f>
        <v>-20</v>
      </c>
      <c r="C9" s="86" t="n">
        <f aca="false">-Assumptions!B48</f>
        <v>-35</v>
      </c>
      <c r="D9" s="86" t="n">
        <f aca="false">-Assumptions!B49</f>
        <v>-55</v>
      </c>
      <c r="E9" s="86" t="n">
        <f aca="false">-Assumptions!B50</f>
        <v>-32.25</v>
      </c>
    </row>
    <row r="10" customFormat="false" ht="15.75" hidden="false" customHeight="false" outlineLevel="0" collapsed="false">
      <c r="A10" s="52" t="s">
        <v>657</v>
      </c>
      <c r="B10" s="63" t="n">
        <f aca="false">B7+B8+B9</f>
        <v>20</v>
      </c>
      <c r="C10" s="63" t="n">
        <f aca="false">C7+C8+C9</f>
        <v>200</v>
      </c>
      <c r="D10" s="63" t="n">
        <f aca="false">D7+D8+D9</f>
        <v>375</v>
      </c>
      <c r="E10" s="63" t="n">
        <f aca="false">E7+E8+E9</f>
        <v>202.75</v>
      </c>
    </row>
    <row r="11" customFormat="false" ht="15.75" hidden="false" customHeight="false" outlineLevel="0" collapsed="false">
      <c r="A11" s="49" t="s">
        <v>658</v>
      </c>
      <c r="B11" s="71" t="n">
        <f aca="false">B10/B7</f>
        <v>0.0512820512820513</v>
      </c>
      <c r="C11" s="71" t="n">
        <f aca="false">C10/C7</f>
        <v>0.341880341880342</v>
      </c>
      <c r="D11" s="71" t="n">
        <f aca="false">D10/D7</f>
        <v>0.480769230769231</v>
      </c>
      <c r="E11" s="71" t="n">
        <f aca="false">E10/E7</f>
        <v>0.346581196581197</v>
      </c>
      <c r="F11" s="49" t="s">
        <v>659</v>
      </c>
    </row>
    <row r="13" customFormat="false" ht="15.75" hidden="false" customHeight="false" outlineLevel="0" collapsed="false">
      <c r="A13" s="45" t="s">
        <v>660</v>
      </c>
      <c r="B13" s="46"/>
      <c r="C13" s="46"/>
      <c r="D13" s="46"/>
      <c r="E13" s="46"/>
      <c r="F13" s="46"/>
    </row>
    <row r="14" customFormat="false" ht="15.75" hidden="false" customHeight="false" outlineLevel="0" collapsed="false">
      <c r="A14" s="66" t="s">
        <v>161</v>
      </c>
      <c r="B14" s="67" t="s">
        <v>649</v>
      </c>
      <c r="C14" s="67" t="s">
        <v>650</v>
      </c>
      <c r="D14" s="67" t="s">
        <v>651</v>
      </c>
      <c r="E14" s="67" t="s">
        <v>652</v>
      </c>
    </row>
    <row r="15" customFormat="false" ht="15.75" hidden="false" customHeight="false" outlineLevel="0" collapsed="false">
      <c r="A15" s="49" t="s">
        <v>479</v>
      </c>
      <c r="B15" s="68" t="n">
        <f aca="false">Assumptions!B47</f>
        <v>20</v>
      </c>
      <c r="C15" s="68" t="n">
        <f aca="false">Assumptions!B48</f>
        <v>35</v>
      </c>
      <c r="D15" s="68" t="n">
        <f aca="false">Assumptions!B49</f>
        <v>55</v>
      </c>
      <c r="E15" s="68" t="n">
        <f aca="false">Assumptions!B50</f>
        <v>32.25</v>
      </c>
    </row>
    <row r="16" customFormat="false" ht="15.75" hidden="false" customHeight="false" outlineLevel="0" collapsed="false">
      <c r="A16" s="49" t="s">
        <v>343</v>
      </c>
      <c r="B16" s="69" t="n">
        <f aca="false">Assumptions!D47</f>
        <v>0.45</v>
      </c>
      <c r="C16" s="69" t="n">
        <f aca="false">Assumptions!D48</f>
        <v>0.35</v>
      </c>
      <c r="D16" s="69" t="n">
        <f aca="false">Assumptions!D49</f>
        <v>0.2</v>
      </c>
      <c r="E16" s="55" t="n">
        <f aca="false">SUM(B16:D16)</f>
        <v>1</v>
      </c>
    </row>
    <row r="17" customFormat="false" ht="15.75" hidden="false" customHeight="false" outlineLevel="0" collapsed="false">
      <c r="A17" s="52" t="s">
        <v>661</v>
      </c>
      <c r="B17" s="53" t="n">
        <f aca="false">B15</f>
        <v>20</v>
      </c>
      <c r="C17" s="53" t="n">
        <f aca="false">C15</f>
        <v>35</v>
      </c>
      <c r="D17" s="53" t="n">
        <f aca="false">D15</f>
        <v>55</v>
      </c>
      <c r="E17" s="53" t="n">
        <f aca="false">E15</f>
        <v>32.25</v>
      </c>
    </row>
    <row r="19" customFormat="false" ht="15.75" hidden="false" customHeight="false" outlineLevel="0" collapsed="false">
      <c r="A19" s="45" t="s">
        <v>662</v>
      </c>
      <c r="B19" s="46"/>
      <c r="C19" s="46"/>
      <c r="D19" s="46"/>
      <c r="E19" s="46"/>
      <c r="F19" s="46"/>
    </row>
    <row r="20" customFormat="false" ht="15.75" hidden="false" customHeight="false" outlineLevel="0" collapsed="false">
      <c r="A20" s="66" t="s">
        <v>375</v>
      </c>
      <c r="B20" s="67" t="s">
        <v>649</v>
      </c>
      <c r="C20" s="67" t="s">
        <v>650</v>
      </c>
      <c r="D20" s="67" t="s">
        <v>651</v>
      </c>
      <c r="E20" s="67" t="s">
        <v>652</v>
      </c>
    </row>
    <row r="21" customFormat="false" ht="15.75" hidden="false" customHeight="false" outlineLevel="0" collapsed="false">
      <c r="A21" s="49" t="s">
        <v>663</v>
      </c>
      <c r="B21" s="87" t="n">
        <f aca="false">B15*Assumptions!$B$13*Assumptions!$B$14</f>
        <v>0.21</v>
      </c>
      <c r="C21" s="87" t="n">
        <f aca="false">C15*Assumptions!$B$13*Assumptions!$B$14</f>
        <v>0.3675</v>
      </c>
      <c r="D21" s="87" t="n">
        <f aca="false">D15*Assumptions!$B$13*Assumptions!$B$14</f>
        <v>0.5775</v>
      </c>
      <c r="E21" s="87" t="n">
        <f aca="false">E15*Assumptions!$B$13*Assumptions!$B$14</f>
        <v>0.338625</v>
      </c>
    </row>
    <row r="22" customFormat="false" ht="15.75" hidden="false" customHeight="false" outlineLevel="0" collapsed="false">
      <c r="A22" s="49" t="s">
        <v>664</v>
      </c>
      <c r="B22" s="88" t="n">
        <f aca="false">Assumptions!$B$55</f>
        <v>5</v>
      </c>
      <c r="C22" s="88" t="n">
        <f aca="false">Assumptions!$B$55</f>
        <v>5</v>
      </c>
      <c r="D22" s="88" t="n">
        <f aca="false">Assumptions!$B$55</f>
        <v>5</v>
      </c>
      <c r="E22" s="88" t="n">
        <f aca="false">Assumptions!$B$55</f>
        <v>5</v>
      </c>
      <c r="F22" s="49" t="s">
        <v>665</v>
      </c>
    </row>
    <row r="23" customFormat="false" ht="15.75" hidden="false" customHeight="false" outlineLevel="0" collapsed="false">
      <c r="A23" s="49" t="s">
        <v>666</v>
      </c>
      <c r="B23" s="87" t="n">
        <v>0</v>
      </c>
      <c r="C23" s="87" t="n">
        <v>0</v>
      </c>
      <c r="D23" s="88" t="n">
        <f aca="false">Assumptions!$B$56</f>
        <v>8</v>
      </c>
      <c r="E23" s="87" t="n">
        <f aca="false">D23*Assumptions!$D$49</f>
        <v>1.6</v>
      </c>
      <c r="F23" s="49" t="s">
        <v>667</v>
      </c>
    </row>
    <row r="24" customFormat="false" ht="15.75" hidden="false" customHeight="false" outlineLevel="0" collapsed="false">
      <c r="A24" s="49" t="s">
        <v>668</v>
      </c>
      <c r="B24" s="87" t="n">
        <v>0</v>
      </c>
      <c r="C24" s="88" t="n">
        <f aca="false">Assumptions!$B$57</f>
        <v>3</v>
      </c>
      <c r="D24" s="88" t="n">
        <f aca="false">Assumptions!$B$57</f>
        <v>3</v>
      </c>
      <c r="E24" s="87" t="n">
        <f aca="false">C24*(Assumptions!$D$48+Assumptions!$D$49)</f>
        <v>1.65</v>
      </c>
      <c r="F24" s="49" t="s">
        <v>368</v>
      </c>
    </row>
    <row r="25" customFormat="false" ht="15.75" hidden="false" customHeight="false" outlineLevel="0" collapsed="false">
      <c r="A25" s="49" t="s">
        <v>669</v>
      </c>
      <c r="B25" s="87" t="n">
        <v>0</v>
      </c>
      <c r="C25" s="87" t="n">
        <v>0</v>
      </c>
      <c r="D25" s="88" t="n">
        <f aca="false">Assumptions!$B$58</f>
        <v>2</v>
      </c>
      <c r="E25" s="87" t="n">
        <f aca="false">D25*Assumptions!$D$49</f>
        <v>0.4</v>
      </c>
      <c r="F25" s="49" t="s">
        <v>667</v>
      </c>
    </row>
    <row r="26" customFormat="false" ht="15.75" hidden="false" customHeight="false" outlineLevel="0" collapsed="false">
      <c r="A26" s="49" t="s">
        <v>670</v>
      </c>
      <c r="B26" s="87" t="n">
        <f aca="false">(Assumptions!$B$63+Assumptions!$B$64+Assumptions!$B$65)/Assumptions!$B$28</f>
        <v>5.6</v>
      </c>
      <c r="C26" s="87" t="n">
        <f aca="false">B26</f>
        <v>5.6</v>
      </c>
      <c r="D26" s="87" t="n">
        <f aca="false">B26</f>
        <v>5.6</v>
      </c>
      <c r="E26" s="87" t="n">
        <f aca="false">B26</f>
        <v>5.6</v>
      </c>
      <c r="F26" s="49" t="s">
        <v>671</v>
      </c>
    </row>
    <row r="27" customFormat="false" ht="15.75" hidden="false" customHeight="false" outlineLevel="0" collapsed="false">
      <c r="A27" s="52" t="s">
        <v>672</v>
      </c>
      <c r="B27" s="89" t="n">
        <f aca="false">SUM(B21:B26)</f>
        <v>10.81</v>
      </c>
      <c r="C27" s="89" t="n">
        <f aca="false">SUM(C21:C26)</f>
        <v>13.9675</v>
      </c>
      <c r="D27" s="89" t="n">
        <f aca="false">SUM(D21:D26)</f>
        <v>24.1775</v>
      </c>
      <c r="E27" s="89" t="n">
        <f aca="false">SUM(E21:E26)</f>
        <v>14.588625</v>
      </c>
    </row>
    <row r="29" customFormat="false" ht="15.75" hidden="false" customHeight="false" outlineLevel="0" collapsed="false">
      <c r="A29" s="45" t="s">
        <v>673</v>
      </c>
      <c r="B29" s="46"/>
      <c r="C29" s="46"/>
      <c r="D29" s="46"/>
      <c r="E29" s="46"/>
      <c r="F29" s="46"/>
    </row>
    <row r="30" customFormat="false" ht="15.75" hidden="false" customHeight="false" outlineLevel="0" collapsed="false">
      <c r="A30" s="66" t="s">
        <v>161</v>
      </c>
      <c r="B30" s="67" t="s">
        <v>649</v>
      </c>
      <c r="C30" s="67" t="s">
        <v>650</v>
      </c>
      <c r="D30" s="67" t="s">
        <v>651</v>
      </c>
      <c r="E30" s="67" t="s">
        <v>652</v>
      </c>
    </row>
    <row r="31" customFormat="false" ht="15.75" hidden="false" customHeight="false" outlineLevel="0" collapsed="false">
      <c r="A31" s="49" t="s">
        <v>674</v>
      </c>
      <c r="B31" s="87" t="n">
        <f aca="false">B17</f>
        <v>20</v>
      </c>
      <c r="C31" s="87" t="n">
        <f aca="false">C17</f>
        <v>35</v>
      </c>
      <c r="D31" s="87" t="n">
        <f aca="false">D17</f>
        <v>55</v>
      </c>
      <c r="E31" s="87" t="n">
        <f aca="false">E17</f>
        <v>32.25</v>
      </c>
    </row>
    <row r="32" customFormat="false" ht="15.75" hidden="false" customHeight="false" outlineLevel="0" collapsed="false">
      <c r="A32" s="49" t="s">
        <v>675</v>
      </c>
      <c r="B32" s="90" t="n">
        <f aca="false">-B27</f>
        <v>-10.81</v>
      </c>
      <c r="C32" s="90" t="n">
        <f aca="false">-C27</f>
        <v>-13.9675</v>
      </c>
      <c r="D32" s="90" t="n">
        <f aca="false">-D27</f>
        <v>-24.1775</v>
      </c>
      <c r="E32" s="90" t="n">
        <f aca="false">-E27</f>
        <v>-14.588625</v>
      </c>
    </row>
    <row r="33" customFormat="false" ht="15.75" hidden="false" customHeight="false" outlineLevel="0" collapsed="false">
      <c r="A33" s="52" t="s">
        <v>676</v>
      </c>
      <c r="B33" s="89" t="n">
        <f aca="false">B31+B32</f>
        <v>9.19</v>
      </c>
      <c r="C33" s="89" t="n">
        <f aca="false">C31+C32</f>
        <v>21.0325</v>
      </c>
      <c r="D33" s="89" t="n">
        <f aca="false">D31+D32</f>
        <v>30.8225</v>
      </c>
      <c r="E33" s="89" t="n">
        <f aca="false">E31+E32</f>
        <v>17.661375</v>
      </c>
    </row>
    <row r="34" customFormat="false" ht="15.75" hidden="false" customHeight="false" outlineLevel="0" collapsed="false">
      <c r="A34" s="49" t="s">
        <v>677</v>
      </c>
      <c r="B34" s="71" t="n">
        <f aca="false">B33/B31</f>
        <v>0.4595</v>
      </c>
      <c r="C34" s="71" t="n">
        <f aca="false">C33/C31</f>
        <v>0.600928571428571</v>
      </c>
      <c r="D34" s="71" t="n">
        <f aca="false">D33/D31</f>
        <v>0.560409090909091</v>
      </c>
      <c r="E34" s="71" t="n">
        <f aca="false">E33/E31</f>
        <v>0.547639534883721</v>
      </c>
    </row>
    <row r="37" customFormat="false" ht="15.75" hidden="false" customHeight="false" outlineLevel="0" collapsed="false">
      <c r="A37" s="45" t="s">
        <v>678</v>
      </c>
      <c r="B37" s="46"/>
      <c r="C37" s="46"/>
      <c r="D37" s="46"/>
      <c r="E37" s="46"/>
      <c r="F37" s="46"/>
    </row>
    <row r="38" customFormat="false" ht="15.75" hidden="false" customHeight="false" outlineLevel="0" collapsed="false">
      <c r="A38" s="66" t="s">
        <v>161</v>
      </c>
      <c r="B38" s="67" t="s">
        <v>255</v>
      </c>
      <c r="C38" s="67" t="s">
        <v>256</v>
      </c>
      <c r="D38" s="66" t="s">
        <v>257</v>
      </c>
    </row>
    <row r="39" customFormat="false" ht="15.75" hidden="false" customHeight="false" outlineLevel="0" collapsed="false">
      <c r="A39" s="49" t="s">
        <v>679</v>
      </c>
      <c r="B39" s="69" t="n">
        <f aca="false">1-Assumptions!B40</f>
        <v>0.75</v>
      </c>
      <c r="C39" s="51" t="s">
        <v>277</v>
      </c>
      <c r="D39" s="49" t="s">
        <v>680</v>
      </c>
    </row>
    <row r="40" customFormat="false" ht="15.75" hidden="false" customHeight="false" outlineLevel="0" collapsed="false">
      <c r="A40" s="49" t="s">
        <v>681</v>
      </c>
      <c r="B40" s="69" t="n">
        <f aca="false">1-Assumptions!B41</f>
        <v>0.88</v>
      </c>
      <c r="C40" s="51" t="s">
        <v>277</v>
      </c>
      <c r="D40" s="49" t="s">
        <v>682</v>
      </c>
    </row>
    <row r="41" customFormat="false" ht="15.75" hidden="false" customHeight="false" outlineLevel="0" collapsed="false">
      <c r="A41" s="49" t="s">
        <v>683</v>
      </c>
      <c r="B41" s="91" t="n">
        <f aca="false">Assumptions!B42</f>
        <v>0.04</v>
      </c>
      <c r="C41" s="51" t="s">
        <v>684</v>
      </c>
      <c r="D41" s="49" t="s">
        <v>685</v>
      </c>
    </row>
    <row r="42" customFormat="false" ht="15.75" hidden="false" customHeight="false" outlineLevel="0" collapsed="false">
      <c r="A42" s="49" t="s">
        <v>686</v>
      </c>
      <c r="B42" s="91" t="n">
        <f aca="false">Assumptions!B43</f>
        <v>0.02</v>
      </c>
      <c r="C42" s="51" t="s">
        <v>684</v>
      </c>
      <c r="D42" s="49" t="s">
        <v>687</v>
      </c>
    </row>
    <row r="43" customFormat="false" ht="15.75" hidden="false" customHeight="false" outlineLevel="0" collapsed="false">
      <c r="A43" s="52" t="s">
        <v>688</v>
      </c>
      <c r="B43" s="92" t="n">
        <f aca="false">B39*B40*(1+ (1-B41)*4/(1) + (1-B42)*(1/B42))</f>
        <v>35.5344</v>
      </c>
      <c r="C43" s="51" t="s">
        <v>689</v>
      </c>
      <c r="D43" s="49" t="s">
        <v>690</v>
      </c>
    </row>
    <row r="44" customFormat="false" ht="15.75" hidden="false" customHeight="false" outlineLevel="0" collapsed="false">
      <c r="A44" s="49" t="s">
        <v>691</v>
      </c>
      <c r="B44" s="88" t="n">
        <f aca="false">E33</f>
        <v>17.661375</v>
      </c>
      <c r="C44" s="51" t="s">
        <v>294</v>
      </c>
      <c r="D44" s="49" t="s">
        <v>692</v>
      </c>
    </row>
    <row r="45" customFormat="false" ht="15.75" hidden="false" customHeight="false" outlineLevel="0" collapsed="false">
      <c r="A45" s="52" t="s">
        <v>693</v>
      </c>
      <c r="B45" s="64" t="n">
        <f aca="false">B43*B44</f>
        <v>627.5863638</v>
      </c>
      <c r="C45" s="51" t="s">
        <v>265</v>
      </c>
      <c r="D45" s="49" t="s">
        <v>694</v>
      </c>
    </row>
    <row r="46" customFormat="false" ht="15.75" hidden="false" customHeight="false" outlineLevel="0" collapsed="false">
      <c r="A46" s="52" t="s">
        <v>695</v>
      </c>
      <c r="B46" s="64" t="n">
        <f aca="false">B45*Assumptions!B15</f>
        <v>884.896772958</v>
      </c>
      <c r="C46" s="51" t="s">
        <v>696</v>
      </c>
    </row>
    <row r="49" customFormat="false" ht="15.75" hidden="false" customHeight="false" outlineLevel="0" collapsed="false">
      <c r="A49" s="45" t="s">
        <v>697</v>
      </c>
      <c r="B49" s="46"/>
      <c r="C49" s="46"/>
      <c r="D49" s="46"/>
      <c r="E49" s="46"/>
      <c r="F49" s="46"/>
    </row>
    <row r="50" customFormat="false" ht="15.75" hidden="false" customHeight="false" outlineLevel="0" collapsed="false">
      <c r="A50" s="66" t="s">
        <v>161</v>
      </c>
      <c r="B50" s="67" t="s">
        <v>255</v>
      </c>
      <c r="C50" s="67" t="s">
        <v>256</v>
      </c>
      <c r="D50" s="66" t="s">
        <v>257</v>
      </c>
    </row>
    <row r="51" customFormat="false" ht="15.75" hidden="false" customHeight="false" outlineLevel="0" collapsed="false">
      <c r="A51" s="49" t="s">
        <v>698</v>
      </c>
      <c r="B51" s="68" t="n">
        <f aca="false">Assumptions!B68</f>
        <v>30</v>
      </c>
      <c r="C51" s="51" t="s">
        <v>265</v>
      </c>
      <c r="D51" s="49" t="s">
        <v>699</v>
      </c>
    </row>
    <row r="52" customFormat="false" ht="15.75" hidden="false" customHeight="false" outlineLevel="0" collapsed="false">
      <c r="A52" s="49" t="s">
        <v>700</v>
      </c>
      <c r="B52" s="68" t="n">
        <f aca="false">Assumptions!B67</f>
        <v>15</v>
      </c>
      <c r="C52" s="51" t="s">
        <v>265</v>
      </c>
      <c r="D52" s="49" t="s">
        <v>701</v>
      </c>
    </row>
    <row r="53" customFormat="false" ht="15.75" hidden="false" customHeight="false" outlineLevel="0" collapsed="false">
      <c r="A53" s="52" t="s">
        <v>702</v>
      </c>
      <c r="B53" s="53" t="n">
        <f aca="false">B51+B52</f>
        <v>45</v>
      </c>
      <c r="C53" s="51" t="s">
        <v>265</v>
      </c>
      <c r="D53" s="49" t="s">
        <v>703</v>
      </c>
    </row>
    <row r="54" customFormat="false" ht="15.75" hidden="false" customHeight="false" outlineLevel="0" collapsed="false">
      <c r="A54" s="52" t="s">
        <v>704</v>
      </c>
      <c r="B54" s="93" t="n">
        <f aca="false">B45/B53</f>
        <v>13.94636364</v>
      </c>
      <c r="C54" s="51" t="s">
        <v>705</v>
      </c>
      <c r="D54" s="49" t="s">
        <v>706</v>
      </c>
    </row>
    <row r="55" customFormat="false" ht="15.75" hidden="false" customHeight="false" outlineLevel="0" collapsed="false">
      <c r="A55" s="52" t="s">
        <v>707</v>
      </c>
      <c r="B55" s="92" t="n">
        <f aca="false">B53/B44</f>
        <v>2.54793298936238</v>
      </c>
      <c r="C55" s="51" t="s">
        <v>689</v>
      </c>
      <c r="D55" s="49" t="s">
        <v>708</v>
      </c>
    </row>
    <row r="58" customFormat="false" ht="15.75" hidden="false" customHeight="false" outlineLevel="0" collapsed="false">
      <c r="A58" s="45" t="s">
        <v>709</v>
      </c>
      <c r="B58" s="46"/>
      <c r="C58" s="46"/>
      <c r="D58" s="46"/>
      <c r="E58" s="46"/>
      <c r="F58" s="46"/>
    </row>
    <row r="59" customFormat="false" ht="15.75" hidden="false" customHeight="false" outlineLevel="0" collapsed="false">
      <c r="A59" s="66" t="s">
        <v>710</v>
      </c>
      <c r="B59" s="67" t="s">
        <v>255</v>
      </c>
      <c r="C59" s="67" t="s">
        <v>711</v>
      </c>
      <c r="D59" s="67" t="s">
        <v>712</v>
      </c>
    </row>
    <row r="60" customFormat="false" ht="15.75" hidden="false" customHeight="false" outlineLevel="0" collapsed="false">
      <c r="A60" s="49" t="s">
        <v>704</v>
      </c>
      <c r="B60" s="94" t="n">
        <f aca="false">B54</f>
        <v>13.94636364</v>
      </c>
      <c r="C60" s="51" t="s">
        <v>713</v>
      </c>
      <c r="D60" s="74" t="s">
        <v>714</v>
      </c>
    </row>
    <row r="61" customFormat="false" ht="15.75" hidden="false" customHeight="false" outlineLevel="0" collapsed="false">
      <c r="A61" s="49" t="s">
        <v>707</v>
      </c>
      <c r="B61" s="95" t="n">
        <f aca="false">B55</f>
        <v>2.54793298936238</v>
      </c>
      <c r="C61" s="51" t="s">
        <v>715</v>
      </c>
      <c r="D61" s="74" t="s">
        <v>716</v>
      </c>
    </row>
    <row r="62" customFormat="false" ht="15.75" hidden="false" customHeight="false" outlineLevel="0" collapsed="false">
      <c r="A62" s="49" t="s">
        <v>677</v>
      </c>
      <c r="B62" s="71" t="n">
        <f aca="false">E34</f>
        <v>0.547639534883721</v>
      </c>
      <c r="C62" s="51" t="s">
        <v>717</v>
      </c>
      <c r="D62" s="74" t="s">
        <v>716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O68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C69" activeCellId="0" sqref="C69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1.67"/>
    <col collapsed="false" customWidth="true" hidden="false" outlineLevel="0" max="3" min="2" style="0" width="15"/>
    <col collapsed="false" customWidth="true" hidden="false" outlineLevel="0" max="4" min="4" style="0" width="35.5"/>
    <col collapsed="false" customWidth="true" hidden="false" outlineLevel="0" max="15" min="5" style="0" width="15"/>
  </cols>
  <sheetData>
    <row r="1" customFormat="false" ht="18.75" hidden="false" customHeight="true" outlineLevel="0" collapsed="false">
      <c r="A1" s="43" t="s">
        <v>718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customFormat="false" ht="15.75" hidden="false" customHeight="false" outlineLevel="0" collapsed="false">
      <c r="A2" s="45" t="s">
        <v>719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4" customFormat="false" ht="15.75" hidden="false" customHeight="false" outlineLevel="0" collapsed="false">
      <c r="A4" s="66" t="s">
        <v>53</v>
      </c>
      <c r="B4" s="67" t="s">
        <v>720</v>
      </c>
      <c r="C4" s="67" t="s">
        <v>262</v>
      </c>
      <c r="D4" s="67" t="s">
        <v>588</v>
      </c>
      <c r="E4" s="67" t="s">
        <v>589</v>
      </c>
      <c r="F4" s="67" t="s">
        <v>590</v>
      </c>
      <c r="G4" s="67" t="s">
        <v>591</v>
      </c>
      <c r="H4" s="67" t="s">
        <v>162</v>
      </c>
      <c r="I4" s="67" t="s">
        <v>592</v>
      </c>
      <c r="J4" s="67" t="s">
        <v>593</v>
      </c>
      <c r="K4" s="67" t="s">
        <v>163</v>
      </c>
      <c r="L4" s="67" t="s">
        <v>594</v>
      </c>
      <c r="M4" s="67" t="s">
        <v>595</v>
      </c>
      <c r="N4" s="67" t="s">
        <v>164</v>
      </c>
      <c r="O4" s="67" t="s">
        <v>721</v>
      </c>
    </row>
    <row r="5" customFormat="false" ht="15.75" hidden="false" customHeight="false" outlineLevel="0" collapsed="false">
      <c r="A5" s="72" t="s">
        <v>722</v>
      </c>
    </row>
    <row r="6" customFormat="false" ht="15.75" hidden="false" customHeight="false" outlineLevel="0" collapsed="false">
      <c r="A6" s="49" t="s">
        <v>723</v>
      </c>
      <c r="B6" s="65" t="n">
        <f aca="false">Assumptions!B109</f>
        <v>240000</v>
      </c>
      <c r="C6" s="65" t="n">
        <v>0</v>
      </c>
      <c r="D6" s="65" t="n">
        <v>0</v>
      </c>
      <c r="E6" s="65" t="n">
        <v>0</v>
      </c>
      <c r="F6" s="65" t="n">
        <v>0</v>
      </c>
      <c r="G6" s="65" t="n">
        <v>0</v>
      </c>
      <c r="H6" s="65" t="n">
        <v>0</v>
      </c>
      <c r="I6" s="65" t="n">
        <v>0</v>
      </c>
      <c r="J6" s="65" t="n">
        <v>0</v>
      </c>
      <c r="K6" s="65" t="n">
        <v>0</v>
      </c>
      <c r="L6" s="65" t="n">
        <v>0</v>
      </c>
      <c r="M6" s="65" t="n">
        <v>0</v>
      </c>
      <c r="N6" s="65" t="n">
        <v>0</v>
      </c>
      <c r="O6" s="79" t="n">
        <f aca="false">SUM(B6:N6)</f>
        <v>240000</v>
      </c>
    </row>
    <row r="7" customFormat="false" ht="15.75" hidden="false" customHeight="false" outlineLevel="0" collapsed="false">
      <c r="A7" s="49" t="s">
        <v>724</v>
      </c>
      <c r="B7" s="65" t="n">
        <v>0</v>
      </c>
      <c r="C7" s="70" t="n">
        <f aca="false">'Monthly P&amp;L'!C23</f>
        <v>0</v>
      </c>
      <c r="D7" s="70" t="n">
        <f aca="false">'Monthly P&amp;L'!D23</f>
        <v>1880</v>
      </c>
      <c r="E7" s="70" t="n">
        <f aca="false">'Monthly P&amp;L'!E23</f>
        <v>5881.25</v>
      </c>
      <c r="F7" s="70" t="n">
        <f aca="false">'Monthly P&amp;L'!F23</f>
        <v>7265.75</v>
      </c>
      <c r="G7" s="70" t="n">
        <f aca="false">'Monthly P&amp;L'!G23</f>
        <v>8774.75</v>
      </c>
      <c r="H7" s="70" t="n">
        <f aca="false">'Monthly P&amp;L'!H23</f>
        <v>10507.25</v>
      </c>
      <c r="I7" s="70" t="n">
        <f aca="false">'Monthly P&amp;L'!I23</f>
        <v>12537.75</v>
      </c>
      <c r="J7" s="70" t="n">
        <f aca="false">'Monthly P&amp;L'!J23</f>
        <v>14985.25</v>
      </c>
      <c r="K7" s="70" t="n">
        <f aca="false">'Monthly P&amp;L'!K23</f>
        <v>17914.25</v>
      </c>
      <c r="L7" s="70" t="n">
        <f aca="false">'Monthly P&amp;L'!L23</f>
        <v>21409.25</v>
      </c>
      <c r="M7" s="70" t="n">
        <f aca="false">'Monthly P&amp;L'!M23</f>
        <v>25557</v>
      </c>
      <c r="N7" s="70" t="n">
        <f aca="false">'Monthly P&amp;L'!N23</f>
        <v>30548.75</v>
      </c>
      <c r="O7" s="79" t="n">
        <f aca="false">SUM(B7:N7)</f>
        <v>157261.25</v>
      </c>
    </row>
    <row r="8" customFormat="false" ht="15.75" hidden="false" customHeight="false" outlineLevel="0" collapsed="false">
      <c r="A8" s="52" t="s">
        <v>725</v>
      </c>
      <c r="B8" s="79" t="n">
        <f aca="false">B6+B7</f>
        <v>240000</v>
      </c>
      <c r="C8" s="79" t="n">
        <f aca="false">C6+C7</f>
        <v>0</v>
      </c>
      <c r="D8" s="79" t="n">
        <f aca="false">D6+D7</f>
        <v>1880</v>
      </c>
      <c r="E8" s="79" t="n">
        <f aca="false">E6+E7</f>
        <v>5881.25</v>
      </c>
      <c r="F8" s="79" t="n">
        <f aca="false">F6+F7</f>
        <v>7265.75</v>
      </c>
      <c r="G8" s="79" t="n">
        <f aca="false">G6+G7</f>
        <v>8774.75</v>
      </c>
      <c r="H8" s="79" t="n">
        <f aca="false">H6+H7</f>
        <v>10507.25</v>
      </c>
      <c r="I8" s="79" t="n">
        <f aca="false">I6+I7</f>
        <v>12537.75</v>
      </c>
      <c r="J8" s="79" t="n">
        <f aca="false">J6+J7</f>
        <v>14985.25</v>
      </c>
      <c r="K8" s="79" t="n">
        <f aca="false">K6+K7</f>
        <v>17914.25</v>
      </c>
      <c r="L8" s="79" t="n">
        <f aca="false">L6+L7</f>
        <v>21409.25</v>
      </c>
      <c r="M8" s="79" t="n">
        <f aca="false">M6+M7</f>
        <v>25557</v>
      </c>
      <c r="N8" s="79" t="n">
        <f aca="false">N6+N7</f>
        <v>30548.75</v>
      </c>
      <c r="O8" s="79" t="n">
        <f aca="false">SUM(B8:N8)</f>
        <v>397261.25</v>
      </c>
    </row>
    <row r="10" customFormat="false" ht="15.75" hidden="false" customHeight="false" outlineLevel="0" collapsed="false">
      <c r="A10" s="72" t="s">
        <v>726</v>
      </c>
    </row>
    <row r="11" customFormat="false" ht="15.75" hidden="false" customHeight="false" outlineLevel="0" collapsed="false">
      <c r="A11" s="49" t="s">
        <v>727</v>
      </c>
      <c r="B11" s="65" t="n">
        <f aca="false">Assumptions!B102</f>
        <v>35000</v>
      </c>
      <c r="C11" s="65" t="n">
        <v>0</v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79" t="n">
        <f aca="false">SUM(B11:N11)</f>
        <v>35000</v>
      </c>
    </row>
    <row r="12" customFormat="false" ht="15.75" hidden="false" customHeight="false" outlineLevel="0" collapsed="false">
      <c r="A12" s="49" t="s">
        <v>728</v>
      </c>
      <c r="B12" s="65" t="n">
        <f aca="false">Assumptions!B103</f>
        <v>100000</v>
      </c>
      <c r="C12" s="65" t="n">
        <v>0</v>
      </c>
      <c r="D12" s="65" t="n">
        <v>0</v>
      </c>
      <c r="E12" s="65" t="n">
        <v>0</v>
      </c>
      <c r="F12" s="65" t="n">
        <v>0</v>
      </c>
      <c r="G12" s="65" t="n">
        <v>0</v>
      </c>
      <c r="H12" s="65" t="n">
        <v>0</v>
      </c>
      <c r="I12" s="65" t="n">
        <v>0</v>
      </c>
      <c r="J12" s="65" t="n">
        <v>0</v>
      </c>
      <c r="K12" s="65" t="n">
        <v>0</v>
      </c>
      <c r="L12" s="65" t="n">
        <v>0</v>
      </c>
      <c r="M12" s="65" t="n">
        <v>0</v>
      </c>
      <c r="N12" s="65" t="n">
        <v>0</v>
      </c>
      <c r="O12" s="79" t="n">
        <f aca="false">SUM(B12:N12)</f>
        <v>100000</v>
      </c>
    </row>
    <row r="13" customFormat="false" ht="15.75" hidden="false" customHeight="false" outlineLevel="0" collapsed="false">
      <c r="A13" s="49" t="s">
        <v>729</v>
      </c>
      <c r="B13" s="65" t="n">
        <f aca="false">Assumptions!B104</f>
        <v>50000</v>
      </c>
      <c r="C13" s="65" t="n">
        <v>0</v>
      </c>
      <c r="D13" s="65" t="n">
        <v>0</v>
      </c>
      <c r="E13" s="65" t="n">
        <v>0</v>
      </c>
      <c r="F13" s="65" t="n">
        <v>0</v>
      </c>
      <c r="G13" s="65" t="n">
        <v>0</v>
      </c>
      <c r="H13" s="65" t="n">
        <v>0</v>
      </c>
      <c r="I13" s="65" t="n">
        <v>0</v>
      </c>
      <c r="J13" s="65" t="n">
        <v>0</v>
      </c>
      <c r="K13" s="65" t="n">
        <v>0</v>
      </c>
      <c r="L13" s="65" t="n">
        <v>0</v>
      </c>
      <c r="M13" s="65" t="n">
        <v>0</v>
      </c>
      <c r="N13" s="65" t="n">
        <v>0</v>
      </c>
      <c r="O13" s="79" t="n">
        <f aca="false">SUM(B13:N13)</f>
        <v>50000</v>
      </c>
    </row>
    <row r="14" customFormat="false" ht="15.75" hidden="false" customHeight="false" outlineLevel="0" collapsed="false">
      <c r="A14" s="49" t="s">
        <v>730</v>
      </c>
      <c r="B14" s="65" t="n">
        <f aca="false">Assumptions!B105</f>
        <v>5000</v>
      </c>
      <c r="C14" s="65" t="n">
        <v>0</v>
      </c>
      <c r="D14" s="65" t="n">
        <v>0</v>
      </c>
      <c r="E14" s="65" t="n">
        <v>0</v>
      </c>
      <c r="F14" s="65" t="n">
        <v>0</v>
      </c>
      <c r="G14" s="65" t="n">
        <v>0</v>
      </c>
      <c r="H14" s="65" t="n">
        <v>0</v>
      </c>
      <c r="I14" s="65" t="n">
        <v>0</v>
      </c>
      <c r="J14" s="65" t="n">
        <v>0</v>
      </c>
      <c r="K14" s="65" t="n">
        <v>0</v>
      </c>
      <c r="L14" s="65" t="n">
        <v>0</v>
      </c>
      <c r="M14" s="65" t="n">
        <v>0</v>
      </c>
      <c r="N14" s="65" t="n">
        <v>0</v>
      </c>
      <c r="O14" s="79" t="n">
        <f aca="false">SUM(B14:N14)</f>
        <v>5000</v>
      </c>
    </row>
    <row r="15" customFormat="false" ht="15.75" hidden="false" customHeight="false" outlineLevel="0" collapsed="false">
      <c r="A15" s="49" t="s">
        <v>731</v>
      </c>
      <c r="B15" s="65" t="n">
        <f aca="false">Assumptions!B106</f>
        <v>10000</v>
      </c>
      <c r="C15" s="65" t="n">
        <v>0</v>
      </c>
      <c r="D15" s="65" t="n">
        <v>0</v>
      </c>
      <c r="E15" s="65" t="n">
        <v>0</v>
      </c>
      <c r="F15" s="65" t="n">
        <v>0</v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0</v>
      </c>
      <c r="N15" s="65" t="n">
        <v>0</v>
      </c>
      <c r="O15" s="79" t="n">
        <f aca="false">SUM(B15:N15)</f>
        <v>10000</v>
      </c>
    </row>
    <row r="17" customFormat="false" ht="15.75" hidden="false" customHeight="false" outlineLevel="0" collapsed="false">
      <c r="A17" s="49" t="s">
        <v>732</v>
      </c>
      <c r="B17" s="65" t="n">
        <v>0</v>
      </c>
      <c r="C17" s="70" t="n">
        <f aca="false">'Monthly P&amp;L'!C32</f>
        <v>7312.5</v>
      </c>
      <c r="D17" s="70" t="n">
        <f aca="false">'Monthly P&amp;L'!D32</f>
        <v>4871.42640991732</v>
      </c>
      <c r="E17" s="70" t="n">
        <f aca="false">'Monthly P&amp;L'!E32</f>
        <v>5438.10921700827</v>
      </c>
      <c r="F17" s="70" t="n">
        <f aca="false">'Monthly P&amp;L'!F32</f>
        <v>6314.74214397128</v>
      </c>
      <c r="G17" s="70" t="n">
        <f aca="false">'Monthly P&amp;L'!G32</f>
        <v>7448.73368281317</v>
      </c>
      <c r="H17" s="70" t="n">
        <f aca="false">'Monthly P&amp;L'!H32</f>
        <v>8796.28389983117</v>
      </c>
      <c r="I17" s="70" t="n">
        <f aca="false">'Monthly P&amp;L'!I32</f>
        <v>10392.6360511355</v>
      </c>
      <c r="J17" s="70" t="n">
        <f aca="false">'Monthly P&amp;L'!J32</f>
        <v>12272.935262865</v>
      </c>
      <c r="K17" s="70" t="n">
        <f aca="false">'Monthly P&amp;L'!K32</f>
        <v>14540.1639064531</v>
      </c>
      <c r="L17" s="70" t="n">
        <f aca="false">'Monthly P&amp;L'!L32</f>
        <v>17212.9782761169</v>
      </c>
      <c r="M17" s="70" t="n">
        <f aca="false">'Monthly P&amp;L'!M32</f>
        <v>20393.4956738497</v>
      </c>
      <c r="N17" s="70" t="n">
        <f aca="false">'Monthly P&amp;L'!N32</f>
        <v>24174.5381776283</v>
      </c>
      <c r="O17" s="79" t="n">
        <f aca="false">SUM(B17:N17)</f>
        <v>139168.54270159</v>
      </c>
    </row>
    <row r="18" customFormat="false" ht="15.75" hidden="false" customHeight="false" outlineLevel="0" collapsed="false">
      <c r="A18" s="49" t="s">
        <v>733</v>
      </c>
      <c r="B18" s="65" t="n">
        <v>0</v>
      </c>
      <c r="C18" s="70" t="n">
        <f aca="false">'Monthly P&amp;L'!C45</f>
        <v>38026.6666666667</v>
      </c>
      <c r="D18" s="70" t="n">
        <f aca="false">'Monthly P&amp;L'!D45</f>
        <v>29847.2933333333</v>
      </c>
      <c r="E18" s="70" t="n">
        <f aca="false">'Monthly P&amp;L'!E45</f>
        <v>30213.2333333333</v>
      </c>
      <c r="F18" s="70" t="n">
        <f aca="false">'Monthly P&amp;L'!F45</f>
        <v>30925.8533333333</v>
      </c>
      <c r="G18" s="70" t="n">
        <f aca="false">'Monthly P&amp;L'!G45</f>
        <v>32815.9333333333</v>
      </c>
      <c r="H18" s="70" t="n">
        <f aca="false">'Monthly P&amp;L'!H45</f>
        <v>34056.7333333333</v>
      </c>
      <c r="I18" s="70" t="n">
        <f aca="false">'Monthly P&amp;L'!I45</f>
        <v>35535.1333333333</v>
      </c>
      <c r="J18" s="70" t="n">
        <f aca="false">'Monthly P&amp;L'!J45</f>
        <v>37270.9333333333</v>
      </c>
      <c r="K18" s="70" t="n">
        <f aca="false">'Monthly P&amp;L'!K45</f>
        <v>39396.1333333333</v>
      </c>
      <c r="L18" s="70" t="n">
        <f aca="false">'Monthly P&amp;L'!L45</f>
        <v>41897.5333333333</v>
      </c>
      <c r="M18" s="70" t="n">
        <f aca="false">'Monthly P&amp;L'!M45</f>
        <v>44907.1333333333</v>
      </c>
      <c r="N18" s="70" t="n">
        <f aca="false">'Monthly P&amp;L'!N45</f>
        <v>48477.7333333333</v>
      </c>
      <c r="O18" s="79" t="n">
        <f aca="false">SUM(B18:N18)</f>
        <v>443370.313333333</v>
      </c>
    </row>
    <row r="19" customFormat="false" ht="15.75" hidden="false" customHeight="false" outlineLevel="0" collapsed="false">
      <c r="A19" s="52" t="s">
        <v>734</v>
      </c>
      <c r="B19" s="79" t="n">
        <f aca="false">SUM(B11:B18)</f>
        <v>200000</v>
      </c>
      <c r="C19" s="79" t="n">
        <f aca="false">SUM(C11:C18)</f>
        <v>45339.1666666667</v>
      </c>
      <c r="D19" s="79" t="n">
        <f aca="false">SUM(D11:D18)</f>
        <v>34718.7197432507</v>
      </c>
      <c r="E19" s="79" t="n">
        <f aca="false">SUM(E11:E18)</f>
        <v>35651.3425503416</v>
      </c>
      <c r="F19" s="79" t="n">
        <f aca="false">SUM(F11:F18)</f>
        <v>37240.5954773046</v>
      </c>
      <c r="G19" s="79" t="n">
        <f aca="false">SUM(G11:G18)</f>
        <v>40264.6670161465</v>
      </c>
      <c r="H19" s="79" t="n">
        <f aca="false">SUM(H11:H18)</f>
        <v>42853.0172331645</v>
      </c>
      <c r="I19" s="79" t="n">
        <f aca="false">SUM(I11:I18)</f>
        <v>45927.7693844689</v>
      </c>
      <c r="J19" s="79" t="n">
        <f aca="false">SUM(J11:J18)</f>
        <v>49543.8685961983</v>
      </c>
      <c r="K19" s="79" t="n">
        <f aca="false">SUM(K11:K18)</f>
        <v>53936.2972397864</v>
      </c>
      <c r="L19" s="79" t="n">
        <f aca="false">SUM(L11:L18)</f>
        <v>59110.5116094503</v>
      </c>
      <c r="M19" s="79" t="n">
        <f aca="false">SUM(M11:M18)</f>
        <v>65300.6290071831</v>
      </c>
      <c r="N19" s="79" t="n">
        <f aca="false">SUM(N11:N18)</f>
        <v>72652.2715109616</v>
      </c>
      <c r="O19" s="79" t="n">
        <f aca="false">SUM(B19:N19)</f>
        <v>782538.856034923</v>
      </c>
    </row>
    <row r="21" customFormat="false" ht="15.75" hidden="false" customHeight="false" outlineLevel="0" collapsed="false">
      <c r="A21" s="52" t="s">
        <v>735</v>
      </c>
      <c r="B21" s="96" t="n">
        <f aca="false">B8-B19</f>
        <v>40000</v>
      </c>
      <c r="C21" s="96" t="n">
        <f aca="false">C8-C19</f>
        <v>-45339.1666666667</v>
      </c>
      <c r="D21" s="96" t="n">
        <f aca="false">D8-D19</f>
        <v>-32838.7197432507</v>
      </c>
      <c r="E21" s="96" t="n">
        <f aca="false">E8-E19</f>
        <v>-29770.0925503416</v>
      </c>
      <c r="F21" s="96" t="n">
        <f aca="false">F8-F19</f>
        <v>-29974.8454773046</v>
      </c>
      <c r="G21" s="96" t="n">
        <f aca="false">G8-G19</f>
        <v>-31489.9170161465</v>
      </c>
      <c r="H21" s="96" t="n">
        <f aca="false">H8-H19</f>
        <v>-32345.7672331645</v>
      </c>
      <c r="I21" s="96" t="n">
        <f aca="false">I8-I19</f>
        <v>-33390.0193844689</v>
      </c>
      <c r="J21" s="96" t="n">
        <f aca="false">J8-J19</f>
        <v>-34558.6185961983</v>
      </c>
      <c r="K21" s="96" t="n">
        <f aca="false">K8-K19</f>
        <v>-36022.0472397864</v>
      </c>
      <c r="L21" s="96" t="n">
        <f aca="false">L8-L19</f>
        <v>-37701.2616094503</v>
      </c>
      <c r="M21" s="96" t="n">
        <f aca="false">M8-M19</f>
        <v>-39743.6290071831</v>
      </c>
      <c r="N21" s="96" t="n">
        <f aca="false">N8-N19</f>
        <v>-42103.5215109616</v>
      </c>
      <c r="O21" s="96" t="n">
        <f aca="false">SUM(B21:N21)</f>
        <v>-385277.606034923</v>
      </c>
    </row>
    <row r="23" customFormat="false" ht="15.75" hidden="false" customHeight="false" outlineLevel="0" collapsed="false">
      <c r="A23" s="52" t="s">
        <v>736</v>
      </c>
      <c r="B23" s="65" t="n">
        <v>0</v>
      </c>
      <c r="C23" s="86" t="n">
        <f aca="false">B25</f>
        <v>40000</v>
      </c>
      <c r="D23" s="86" t="n">
        <f aca="false">C25</f>
        <v>-5339.16666666666</v>
      </c>
      <c r="E23" s="86" t="n">
        <f aca="false">D25</f>
        <v>-38177.8864099173</v>
      </c>
      <c r="F23" s="86" t="n">
        <f aca="false">E25</f>
        <v>-67947.9789602589</v>
      </c>
      <c r="G23" s="86" t="n">
        <f aca="false">F25</f>
        <v>-97922.8244375635</v>
      </c>
      <c r="H23" s="86" t="n">
        <f aca="false">G25</f>
        <v>-129412.74145371</v>
      </c>
      <c r="I23" s="86" t="n">
        <f aca="false">H25</f>
        <v>-161758.508686875</v>
      </c>
      <c r="J23" s="86" t="n">
        <f aca="false">I25</f>
        <v>-195148.528071343</v>
      </c>
      <c r="K23" s="86" t="n">
        <f aca="false">J25</f>
        <v>-229707.146667542</v>
      </c>
      <c r="L23" s="86" t="n">
        <f aca="false">K25</f>
        <v>-265729.193907328</v>
      </c>
      <c r="M23" s="86" t="n">
        <f aca="false">L25</f>
        <v>-303430.455516778</v>
      </c>
      <c r="N23" s="86" t="n">
        <f aca="false">M25</f>
        <v>-343174.084523962</v>
      </c>
    </row>
    <row r="24" customFormat="false" ht="15.75" hidden="false" customHeight="false" outlineLevel="0" collapsed="false">
      <c r="A24" s="49" t="s">
        <v>737</v>
      </c>
      <c r="B24" s="86" t="n">
        <f aca="false">B21</f>
        <v>40000</v>
      </c>
      <c r="C24" s="86" t="n">
        <f aca="false">C21</f>
        <v>-45339.1666666667</v>
      </c>
      <c r="D24" s="86" t="n">
        <f aca="false">D21</f>
        <v>-32838.7197432507</v>
      </c>
      <c r="E24" s="86" t="n">
        <f aca="false">E21</f>
        <v>-29770.0925503416</v>
      </c>
      <c r="F24" s="86" t="n">
        <f aca="false">F21</f>
        <v>-29974.8454773046</v>
      </c>
      <c r="G24" s="86" t="n">
        <f aca="false">G21</f>
        <v>-31489.9170161465</v>
      </c>
      <c r="H24" s="86" t="n">
        <f aca="false">H21</f>
        <v>-32345.7672331645</v>
      </c>
      <c r="I24" s="86" t="n">
        <f aca="false">I21</f>
        <v>-33390.0193844689</v>
      </c>
      <c r="J24" s="86" t="n">
        <f aca="false">J21</f>
        <v>-34558.6185961983</v>
      </c>
      <c r="K24" s="86" t="n">
        <f aca="false">K21</f>
        <v>-36022.0472397864</v>
      </c>
      <c r="L24" s="86" t="n">
        <f aca="false">L21</f>
        <v>-37701.2616094503</v>
      </c>
      <c r="M24" s="86" t="n">
        <f aca="false">M21</f>
        <v>-39743.6290071831</v>
      </c>
      <c r="N24" s="86" t="n">
        <f aca="false">N21</f>
        <v>-42103.5215109616</v>
      </c>
    </row>
    <row r="25" customFormat="false" ht="15.75" hidden="false" customHeight="false" outlineLevel="0" collapsed="false">
      <c r="A25" s="52" t="s">
        <v>738</v>
      </c>
      <c r="B25" s="96" t="n">
        <f aca="false">B23+B24</f>
        <v>40000</v>
      </c>
      <c r="C25" s="96" t="n">
        <f aca="false">C23+C24</f>
        <v>-5339.16666666666</v>
      </c>
      <c r="D25" s="96" t="n">
        <f aca="false">D23+D24</f>
        <v>-38177.8864099173</v>
      </c>
      <c r="E25" s="96" t="n">
        <f aca="false">E23+E24</f>
        <v>-67947.9789602589</v>
      </c>
      <c r="F25" s="96" t="n">
        <f aca="false">F23+F24</f>
        <v>-97922.8244375635</v>
      </c>
      <c r="G25" s="96" t="n">
        <f aca="false">G23+G24</f>
        <v>-129412.74145371</v>
      </c>
      <c r="H25" s="96" t="n">
        <f aca="false">H23+H24</f>
        <v>-161758.508686875</v>
      </c>
      <c r="I25" s="96" t="n">
        <f aca="false">I23+I24</f>
        <v>-195148.528071343</v>
      </c>
      <c r="J25" s="96" t="n">
        <f aca="false">J23+J24</f>
        <v>-229707.146667542</v>
      </c>
      <c r="K25" s="96" t="n">
        <f aca="false">K23+K24</f>
        <v>-265729.193907328</v>
      </c>
      <c r="L25" s="96" t="n">
        <f aca="false">L23+L24</f>
        <v>-303430.455516778</v>
      </c>
      <c r="M25" s="96" t="n">
        <f aca="false">M23+M24</f>
        <v>-343174.084523962</v>
      </c>
      <c r="N25" s="96" t="n">
        <f aca="false">N23+N24</f>
        <v>-385277.606034923</v>
      </c>
      <c r="O25" s="96" t="n">
        <f aca="false">N25</f>
        <v>-385277.606034923</v>
      </c>
    </row>
    <row r="27" customFormat="false" ht="15.75" hidden="false" customHeight="false" outlineLevel="0" collapsed="false">
      <c r="A27" s="72" t="s">
        <v>739</v>
      </c>
    </row>
    <row r="28" customFormat="false" ht="15.75" hidden="false" customHeight="false" outlineLevel="0" collapsed="false">
      <c r="A28" s="49" t="s">
        <v>740</v>
      </c>
      <c r="B28" s="86" t="n">
        <f aca="false">B21</f>
        <v>40000</v>
      </c>
      <c r="C28" s="86" t="n">
        <f aca="false">C21</f>
        <v>-45339.1666666667</v>
      </c>
      <c r="D28" s="86" t="n">
        <f aca="false">D21</f>
        <v>-32838.7197432507</v>
      </c>
      <c r="E28" s="86" t="n">
        <f aca="false">E21</f>
        <v>-29770.0925503416</v>
      </c>
      <c r="F28" s="86" t="n">
        <f aca="false">F21</f>
        <v>-29974.8454773046</v>
      </c>
      <c r="G28" s="86" t="n">
        <f aca="false">G21</f>
        <v>-31489.9170161465</v>
      </c>
      <c r="H28" s="86" t="n">
        <f aca="false">H21</f>
        <v>-32345.7672331645</v>
      </c>
      <c r="I28" s="86" t="n">
        <f aca="false">I21</f>
        <v>-33390.0193844689</v>
      </c>
      <c r="J28" s="86" t="n">
        <f aca="false">J21</f>
        <v>-34558.6185961983</v>
      </c>
      <c r="K28" s="86" t="n">
        <f aca="false">K21</f>
        <v>-36022.0472397864</v>
      </c>
      <c r="L28" s="86" t="n">
        <f aca="false">L21</f>
        <v>-37701.2616094503</v>
      </c>
      <c r="M28" s="86" t="n">
        <f aca="false">M21</f>
        <v>-39743.6290071831</v>
      </c>
      <c r="N28" s="86" t="n">
        <f aca="false">N21</f>
        <v>-42103.5215109616</v>
      </c>
      <c r="O28" s="96" t="n">
        <f aca="false">N25</f>
        <v>-385277.606034923</v>
      </c>
    </row>
    <row r="29" customFormat="false" ht="15.75" hidden="false" customHeight="false" outlineLevel="0" collapsed="false">
      <c r="A29" s="49" t="s">
        <v>741</v>
      </c>
      <c r="B29" s="86" t="n">
        <f aca="false">B28</f>
        <v>40000</v>
      </c>
      <c r="C29" s="86" t="n">
        <f aca="false">B29+C28</f>
        <v>-5339.16666666666</v>
      </c>
      <c r="D29" s="86" t="n">
        <f aca="false">C29+D28</f>
        <v>-38177.8864099173</v>
      </c>
      <c r="E29" s="86" t="n">
        <f aca="false">D29+E28</f>
        <v>-67947.9789602589</v>
      </c>
      <c r="F29" s="86" t="n">
        <f aca="false">E29+F28</f>
        <v>-97922.8244375635</v>
      </c>
      <c r="G29" s="86" t="n">
        <f aca="false">F29+G28</f>
        <v>-129412.74145371</v>
      </c>
      <c r="H29" s="86" t="n">
        <f aca="false">G29+H28</f>
        <v>-161758.508686875</v>
      </c>
      <c r="I29" s="86" t="n">
        <f aca="false">H29+I28</f>
        <v>-195148.528071343</v>
      </c>
      <c r="J29" s="86" t="n">
        <f aca="false">I29+J28</f>
        <v>-229707.146667542</v>
      </c>
      <c r="K29" s="86" t="n">
        <f aca="false">J29+K28</f>
        <v>-265729.193907328</v>
      </c>
      <c r="L29" s="86" t="n">
        <f aca="false">K29+L28</f>
        <v>-303430.455516778</v>
      </c>
      <c r="M29" s="86" t="n">
        <f aca="false">L29+M28</f>
        <v>-343174.084523962</v>
      </c>
      <c r="N29" s="86" t="n">
        <f aca="false">M29+N28</f>
        <v>-385277.606034923</v>
      </c>
      <c r="O29" s="86" t="n">
        <f aca="false">N29</f>
        <v>-385277.606034923</v>
      </c>
    </row>
    <row r="30" customFormat="false" ht="15.75" hidden="false" customHeight="false" outlineLevel="0" collapsed="false">
      <c r="A30" s="49" t="s">
        <v>742</v>
      </c>
      <c r="B30" s="51" t="str">
        <f aca="false">IF(B28&gt;=0,"N/A",IF(B25&lt;=0,0,ROUND(-B25/B28,1)))</f>
        <v>N/A</v>
      </c>
      <c r="C30" s="51" t="n">
        <f aca="false">IF(C28&gt;=0,"N/A",IF(C25&lt;=0,0,ROUND(-C25/C28,1)))</f>
        <v>0</v>
      </c>
      <c r="D30" s="51" t="n">
        <f aca="false">IF(D28&gt;=0,"N/A",IF(D25&lt;=0,0,ROUND(-D25/D28,1)))</f>
        <v>0</v>
      </c>
      <c r="E30" s="51" t="n">
        <f aca="false">IF(E28&gt;=0,"N/A",IF(E25&lt;=0,0,ROUND(-E25/E28,1)))</f>
        <v>0</v>
      </c>
      <c r="F30" s="51" t="n">
        <f aca="false">IF(F28&gt;=0,"N/A",IF(F25&lt;=0,0,ROUND(-F25/F28,1)))</f>
        <v>0</v>
      </c>
      <c r="G30" s="51" t="n">
        <f aca="false">IF(G28&gt;=0,"N/A",IF(G25&lt;=0,0,ROUND(-G25/G28,1)))</f>
        <v>0</v>
      </c>
      <c r="H30" s="51" t="n">
        <f aca="false">IF(H28&gt;=0,"N/A",IF(H25&lt;=0,0,ROUND(-H25/H28,1)))</f>
        <v>0</v>
      </c>
      <c r="I30" s="51" t="n">
        <f aca="false">IF(I28&gt;=0,"N/A",IF(I25&lt;=0,0,ROUND(-I25/I28,1)))</f>
        <v>0</v>
      </c>
      <c r="J30" s="51" t="n">
        <f aca="false">IF(J28&gt;=0,"N/A",IF(J25&lt;=0,0,ROUND(-J25/J28,1)))</f>
        <v>0</v>
      </c>
      <c r="K30" s="51" t="n">
        <f aca="false">IF(K28&gt;=0,"N/A",IF(K25&lt;=0,0,ROUND(-K25/K28,1)))</f>
        <v>0</v>
      </c>
      <c r="L30" s="51" t="n">
        <f aca="false">IF(L28&gt;=0,"N/A",IF(L25&lt;=0,0,ROUND(-L25/L28,1)))</f>
        <v>0</v>
      </c>
      <c r="M30" s="51" t="n">
        <f aca="false">IF(M28&gt;=0,"N/A",IF(M25&lt;=0,0,ROUND(-M25/M28,1)))</f>
        <v>0</v>
      </c>
      <c r="N30" s="51" t="n">
        <f aca="false">IF(N28&gt;=0,"N/A",IF(N25&lt;=0,0,ROUND(-N25/N28,1)))</f>
        <v>0</v>
      </c>
    </row>
    <row r="32" customFormat="false" ht="18" hidden="false" customHeight="true" outlineLevel="0" collapsed="false">
      <c r="A32" s="97" t="s">
        <v>743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</row>
    <row r="33" customFormat="false" ht="15.75" hidden="false" customHeight="false" outlineLevel="0" collapsed="false">
      <c r="A33" s="66" t="s">
        <v>161</v>
      </c>
      <c r="B33" s="67" t="s">
        <v>255</v>
      </c>
      <c r="D33" s="66" t="s">
        <v>161</v>
      </c>
      <c r="E33" s="67" t="s">
        <v>255</v>
      </c>
    </row>
    <row r="34" customFormat="false" ht="15.75" hidden="false" customHeight="false" outlineLevel="0" collapsed="false">
      <c r="A34" s="49" t="s">
        <v>744</v>
      </c>
      <c r="B34" s="70" t="n">
        <f aca="false">Assumptions!B109</f>
        <v>240000</v>
      </c>
      <c r="D34" s="49" t="s">
        <v>745</v>
      </c>
      <c r="E34" s="70" t="n">
        <f aca="false">O7</f>
        <v>157261.25</v>
      </c>
    </row>
    <row r="35" customFormat="false" ht="15.75" hidden="false" customHeight="false" outlineLevel="0" collapsed="false">
      <c r="A35" s="52" t="s">
        <v>746</v>
      </c>
      <c r="B35" s="98" t="n">
        <f aca="false">N25</f>
        <v>-385277.606034923</v>
      </c>
      <c r="D35" s="49" t="s">
        <v>747</v>
      </c>
      <c r="E35" s="65" t="n">
        <f aca="false">O19</f>
        <v>782538.856034923</v>
      </c>
    </row>
    <row r="36" customFormat="false" ht="15.75" hidden="false" customHeight="false" outlineLevel="0" collapsed="false">
      <c r="A36" s="49" t="s">
        <v>748</v>
      </c>
      <c r="B36" s="86" t="n">
        <f aca="false">MIN(C28:N28)</f>
        <v>-45339.1666666667</v>
      </c>
      <c r="D36" s="49" t="s">
        <v>749</v>
      </c>
      <c r="E36" s="86" t="n">
        <f aca="false">AVERAGE(C28:N28)</f>
        <v>-35439.8005029103</v>
      </c>
    </row>
    <row r="38" customFormat="false" ht="15.75" hidden="false" customHeight="false" outlineLevel="0" collapsed="false">
      <c r="A38" s="99" t="s">
        <v>750</v>
      </c>
      <c r="B38" s="63" t="n">
        <f aca="false">IF(N25&lt;0,ABS(N25),0)</f>
        <v>385277.606034923</v>
      </c>
      <c r="D38" s="99" t="s">
        <v>751</v>
      </c>
      <c r="E38" s="63" t="n">
        <f aca="false">ROUND(B38*1.3,-3)</f>
        <v>501000</v>
      </c>
    </row>
    <row r="39" customFormat="false" ht="15.75" hidden="false" customHeight="false" outlineLevel="0" collapsed="false">
      <c r="A39" s="99" t="s">
        <v>752</v>
      </c>
      <c r="B39" s="100" t="n">
        <f aca="false">E38*Assumptions!$B$15</f>
        <v>706410</v>
      </c>
      <c r="D39" s="99" t="s">
        <v>753</v>
      </c>
      <c r="E39" s="92" t="n">
        <f aca="false">ROUND(E38/ABS(E36),1)</f>
        <v>14.1</v>
      </c>
    </row>
    <row r="42" customFormat="false" ht="21.75" hidden="false" customHeight="true" outlineLevel="0" collapsed="false">
      <c r="A42" s="101" t="s">
        <v>754</v>
      </c>
      <c r="B42" s="44"/>
      <c r="C42" s="44"/>
      <c r="D42" s="44"/>
      <c r="E42" s="44"/>
      <c r="F42" s="44"/>
      <c r="G42" s="44"/>
    </row>
    <row r="43" customFormat="false" ht="15.75" hidden="false" customHeight="false" outlineLevel="0" collapsed="false">
      <c r="A43" s="102" t="s">
        <v>755</v>
      </c>
    </row>
    <row r="45" customFormat="false" ht="15.75" hidden="false" customHeight="false" outlineLevel="0" collapsed="false">
      <c r="A45" s="66" t="s">
        <v>53</v>
      </c>
      <c r="B45" s="67" t="s">
        <v>756</v>
      </c>
      <c r="C45" s="67" t="s">
        <v>757</v>
      </c>
      <c r="D45" s="67" t="s">
        <v>758</v>
      </c>
      <c r="E45" s="67" t="s">
        <v>759</v>
      </c>
      <c r="F45" s="67" t="s">
        <v>760</v>
      </c>
      <c r="G45" s="67" t="s">
        <v>761</v>
      </c>
    </row>
    <row r="46" customFormat="false" ht="15.75" hidden="false" customHeight="false" outlineLevel="0" collapsed="false">
      <c r="A46" s="103" t="s">
        <v>722</v>
      </c>
      <c r="B46" s="46"/>
      <c r="C46" s="46"/>
      <c r="D46" s="46"/>
      <c r="E46" s="46"/>
      <c r="F46" s="46"/>
      <c r="G46" s="46"/>
    </row>
    <row r="47" customFormat="false" ht="15.75" hidden="false" customHeight="false" outlineLevel="0" collapsed="false">
      <c r="A47" s="49" t="s">
        <v>762</v>
      </c>
      <c r="B47" s="70" t="n">
        <f aca="false">Assumptions!B109</f>
        <v>240000</v>
      </c>
      <c r="C47" s="65" t="n">
        <v>0</v>
      </c>
      <c r="D47" s="65" t="n">
        <v>0</v>
      </c>
      <c r="E47" s="65" t="n">
        <v>0</v>
      </c>
      <c r="F47" s="65" t="n">
        <v>0</v>
      </c>
      <c r="G47" s="65" t="n">
        <f aca="false">SUM(B47:F47)</f>
        <v>240000</v>
      </c>
    </row>
    <row r="48" customFormat="false" ht="15.75" hidden="false" customHeight="false" outlineLevel="0" collapsed="false">
      <c r="A48" s="49" t="s">
        <v>763</v>
      </c>
      <c r="B48" s="70" t="n">
        <f aca="false">'Multi-Year Projections'!B21</f>
        <v>157261.25</v>
      </c>
      <c r="C48" s="70" t="n">
        <f aca="false">'Multi-Year Projections'!C21</f>
        <v>961830.45</v>
      </c>
      <c r="D48" s="70" t="n">
        <f aca="false">'Multi-Year Projections'!D21</f>
        <v>2016142.0965</v>
      </c>
      <c r="E48" s="70" t="n">
        <f aca="false">'Multi-Year Projections'!E21</f>
        <v>3572836.84485</v>
      </c>
      <c r="F48" s="70" t="n">
        <f aca="false">'Multi-Year Projections'!F21</f>
        <v>5548246.74039825</v>
      </c>
      <c r="G48" s="65" t="n">
        <f aca="false">SUM(B48:F48)</f>
        <v>12256317.3817483</v>
      </c>
    </row>
    <row r="49" customFormat="false" ht="15.75" hidden="false" customHeight="false" outlineLevel="0" collapsed="false">
      <c r="A49" s="49" t="s">
        <v>764</v>
      </c>
      <c r="B49" s="70" t="n">
        <f aca="false">'Multi-Year Projections'!B22</f>
        <v>0</v>
      </c>
      <c r="C49" s="70" t="n">
        <f aca="false">'Multi-Year Projections'!C22</f>
        <v>28404</v>
      </c>
      <c r="D49" s="70" t="n">
        <f aca="false">'Multi-Year Projections'!D22</f>
        <v>139110</v>
      </c>
      <c r="E49" s="70" t="n">
        <f aca="false">'Multi-Year Projections'!E22</f>
        <v>422604</v>
      </c>
      <c r="F49" s="70" t="n">
        <f aca="false">'Multi-Year Projections'!F22</f>
        <v>991116</v>
      </c>
      <c r="G49" s="65" t="n">
        <f aca="false">SUM(B49:F49)</f>
        <v>1581234</v>
      </c>
    </row>
    <row r="50" customFormat="false" ht="15.75" hidden="false" customHeight="false" outlineLevel="0" collapsed="false">
      <c r="A50" s="52" t="s">
        <v>725</v>
      </c>
      <c r="B50" s="79" t="n">
        <f aca="false">SUM(B47:B49)</f>
        <v>397261.25</v>
      </c>
      <c r="C50" s="79" t="n">
        <f aca="false">SUM(C47:C49)</f>
        <v>990234.45</v>
      </c>
      <c r="D50" s="79" t="n">
        <f aca="false">SUM(D47:D49)</f>
        <v>2155252.0965</v>
      </c>
      <c r="E50" s="79" t="n">
        <f aca="false">SUM(E47:E49)</f>
        <v>3995440.84485</v>
      </c>
      <c r="F50" s="79" t="n">
        <f aca="false">SUM(F47:F49)</f>
        <v>6539362.74039825</v>
      </c>
      <c r="G50" s="79" t="n">
        <f aca="false">SUM(B50:F50)</f>
        <v>14077551.3817483</v>
      </c>
    </row>
    <row r="52" customFormat="false" ht="15.75" hidden="false" customHeight="false" outlineLevel="0" collapsed="false">
      <c r="A52" s="103" t="s">
        <v>726</v>
      </c>
      <c r="B52" s="46"/>
      <c r="C52" s="46"/>
      <c r="D52" s="46"/>
      <c r="E52" s="46"/>
      <c r="F52" s="46"/>
      <c r="G52" s="46"/>
    </row>
    <row r="53" customFormat="false" ht="15.75" hidden="false" customHeight="false" outlineLevel="0" collapsed="false">
      <c r="A53" s="49" t="s">
        <v>765</v>
      </c>
      <c r="B53" s="70" t="n">
        <f aca="false">Assumptions!B109</f>
        <v>240000</v>
      </c>
      <c r="C53" s="65" t="n">
        <v>0</v>
      </c>
      <c r="D53" s="65" t="n">
        <v>0</v>
      </c>
      <c r="E53" s="65" t="n">
        <v>0</v>
      </c>
      <c r="F53" s="65" t="n">
        <v>0</v>
      </c>
      <c r="G53" s="65" t="n">
        <f aca="false">SUM(B53:F53)</f>
        <v>240000</v>
      </c>
    </row>
    <row r="54" customFormat="false" ht="15.75" hidden="false" customHeight="false" outlineLevel="0" collapsed="false">
      <c r="A54" s="49" t="s">
        <v>766</v>
      </c>
      <c r="B54" s="70" t="n">
        <f aca="false">'Multi-Year Projections'!B32</f>
        <v>139168.54270159</v>
      </c>
      <c r="C54" s="70" t="n">
        <f aca="false">'Multi-Year Projections'!C32</f>
        <v>344226.061725</v>
      </c>
      <c r="D54" s="70" t="n">
        <f aca="false">'Multi-Year Projections'!D32</f>
        <v>637394.74701325</v>
      </c>
      <c r="E54" s="70" t="n">
        <f aca="false">'Multi-Year Projections'!E32</f>
        <v>1033963.92887093</v>
      </c>
      <c r="F54" s="70" t="n">
        <f aca="false">'Multi-Year Projections'!F32</f>
        <v>1517231.50877418</v>
      </c>
      <c r="G54" s="65" t="n">
        <f aca="false">SUM(B54:F54)</f>
        <v>3671984.78908495</v>
      </c>
    </row>
    <row r="55" customFormat="false" ht="15.75" hidden="false" customHeight="false" outlineLevel="0" collapsed="false">
      <c r="A55" s="49" t="s">
        <v>767</v>
      </c>
      <c r="B55" s="70" t="n">
        <f aca="false">'Multi-Year Projections'!B45</f>
        <v>807760</v>
      </c>
      <c r="C55" s="70" t="n">
        <f aca="false">'Multi-Year Projections'!C45</f>
        <v>525044</v>
      </c>
      <c r="D55" s="70" t="n">
        <f aca="false">'Multi-Year Projections'!D45</f>
        <v>630053</v>
      </c>
      <c r="E55" s="70" t="n">
        <f aca="false">'Multi-Year Projections'!E45</f>
        <v>724560</v>
      </c>
      <c r="F55" s="70" t="n">
        <f aca="false">'Multi-Year Projections'!F45</f>
        <v>797016</v>
      </c>
      <c r="G55" s="65" t="n">
        <f aca="false">SUM(B55:F55)</f>
        <v>3484433</v>
      </c>
    </row>
    <row r="56" customFormat="false" ht="15.75" hidden="false" customHeight="false" outlineLevel="0" collapsed="false">
      <c r="A56" s="49" t="s">
        <v>641</v>
      </c>
      <c r="B56" s="70" t="n">
        <f aca="false">'Multi-Year Projections'!B50</f>
        <v>11666.6666666667</v>
      </c>
      <c r="C56" s="70" t="n">
        <f aca="false">'Multi-Year Projections'!C50</f>
        <v>13417</v>
      </c>
      <c r="D56" s="70" t="n">
        <f aca="false">'Multi-Year Projections'!D50</f>
        <v>14759</v>
      </c>
      <c r="E56" s="70" t="n">
        <f aca="false">'Multi-Year Projections'!E50</f>
        <v>15940</v>
      </c>
      <c r="F56" s="70" t="n">
        <f aca="false">'Multi-Year Projections'!F50</f>
        <v>16737</v>
      </c>
      <c r="G56" s="65" t="n">
        <f aca="false">SUM(B56:F56)</f>
        <v>72519.6666666667</v>
      </c>
    </row>
    <row r="57" customFormat="false" ht="15.75" hidden="false" customHeight="false" outlineLevel="0" collapsed="false">
      <c r="A57" s="49" t="s">
        <v>642</v>
      </c>
      <c r="B57" s="70" t="n">
        <f aca="false">'Multi-Year Projections'!B51</f>
        <v>0</v>
      </c>
      <c r="C57" s="70" t="n">
        <f aca="false">'Multi-Year Projections'!C51</f>
        <v>0</v>
      </c>
      <c r="D57" s="70" t="n">
        <f aca="false">'Multi-Year Projections'!D51</f>
        <v>0</v>
      </c>
      <c r="E57" s="70" t="n">
        <f aca="false">'Multi-Year Projections'!E51</f>
        <v>0</v>
      </c>
      <c r="F57" s="70" t="n">
        <f aca="false">'Multi-Year Projections'!F51</f>
        <v>0</v>
      </c>
      <c r="G57" s="65" t="n">
        <f aca="false">SUM(B57:F57)</f>
        <v>0</v>
      </c>
    </row>
    <row r="58" customFormat="false" ht="15.75" hidden="false" customHeight="false" outlineLevel="0" collapsed="false">
      <c r="A58" s="52" t="s">
        <v>734</v>
      </c>
      <c r="B58" s="79" t="n">
        <f aca="false">SUM(B53:B57)</f>
        <v>1198595.20936826</v>
      </c>
      <c r="C58" s="79" t="n">
        <f aca="false">SUM(C53:C57)</f>
        <v>882687.061725</v>
      </c>
      <c r="D58" s="79" t="n">
        <f aca="false">SUM(D53:D57)</f>
        <v>1282206.74701325</v>
      </c>
      <c r="E58" s="79" t="n">
        <f aca="false">SUM(E53:E57)</f>
        <v>1774463.92887093</v>
      </c>
      <c r="F58" s="79" t="n">
        <f aca="false">SUM(F53:F57)</f>
        <v>2330984.50877418</v>
      </c>
      <c r="G58" s="79" t="n">
        <f aca="false">SUM(B58:F58)</f>
        <v>7468937.45575161</v>
      </c>
    </row>
    <row r="60" customFormat="false" ht="15.75" hidden="false" customHeight="false" outlineLevel="0" collapsed="false">
      <c r="A60" s="104" t="s">
        <v>735</v>
      </c>
      <c r="B60" s="105" t="n">
        <f aca="false">B50-B58</f>
        <v>-801333.959368256</v>
      </c>
      <c r="C60" s="105" t="n">
        <f aca="false">C50-C58</f>
        <v>107547.388275</v>
      </c>
      <c r="D60" s="105" t="n">
        <f aca="false">D50-D58</f>
        <v>873045.34948675</v>
      </c>
      <c r="E60" s="105" t="n">
        <f aca="false">E50-E58</f>
        <v>2220976.91597908</v>
      </c>
      <c r="F60" s="105" t="n">
        <f aca="false">F50-F58</f>
        <v>4208378.23162407</v>
      </c>
      <c r="G60" s="105" t="n">
        <f aca="false">SUM(B60:F60)</f>
        <v>6608613.92599664</v>
      </c>
    </row>
    <row r="62" customFormat="false" ht="15.75" hidden="false" customHeight="false" outlineLevel="0" collapsed="false">
      <c r="A62" s="49" t="s">
        <v>736</v>
      </c>
      <c r="B62" s="86" t="n">
        <v>0</v>
      </c>
      <c r="C62" s="86" t="n">
        <f aca="false">B64</f>
        <v>-801333.959368256</v>
      </c>
      <c r="D62" s="86" t="n">
        <f aca="false">C64</f>
        <v>-693786.571093256</v>
      </c>
      <c r="E62" s="86" t="n">
        <f aca="false">D64</f>
        <v>179258.778393494</v>
      </c>
      <c r="F62" s="86" t="n">
        <f aca="false">E64</f>
        <v>2400235.69437257</v>
      </c>
    </row>
    <row r="63" customFormat="false" ht="15.75" hidden="false" customHeight="false" outlineLevel="0" collapsed="false">
      <c r="A63" s="49" t="s">
        <v>737</v>
      </c>
      <c r="B63" s="86" t="n">
        <f aca="false">B60</f>
        <v>-801333.959368256</v>
      </c>
      <c r="C63" s="86" t="n">
        <f aca="false">C60</f>
        <v>107547.388275</v>
      </c>
      <c r="D63" s="86" t="n">
        <f aca="false">D60</f>
        <v>873045.34948675</v>
      </c>
      <c r="E63" s="86" t="n">
        <f aca="false">E60</f>
        <v>2220976.91597908</v>
      </c>
      <c r="F63" s="86" t="n">
        <f aca="false">F60</f>
        <v>4208378.23162407</v>
      </c>
    </row>
    <row r="64" customFormat="false" ht="15.75" hidden="false" customHeight="false" outlineLevel="0" collapsed="false">
      <c r="A64" s="104" t="s">
        <v>738</v>
      </c>
      <c r="B64" s="105" t="n">
        <f aca="false">B62+B63</f>
        <v>-801333.959368256</v>
      </c>
      <c r="C64" s="105" t="n">
        <f aca="false">C62+C63</f>
        <v>-693786.571093256</v>
      </c>
      <c r="D64" s="105" t="n">
        <f aca="false">D62+D63</f>
        <v>179258.778393494</v>
      </c>
      <c r="E64" s="105" t="n">
        <f aca="false">E62+E63</f>
        <v>2400235.69437257</v>
      </c>
      <c r="F64" s="105" t="n">
        <f aca="false">F62+F63</f>
        <v>6608613.92599664</v>
      </c>
      <c r="G64" s="105" t="n">
        <f aca="false">F64</f>
        <v>6608613.92599664</v>
      </c>
    </row>
    <row r="66" customFormat="false" ht="15.75" hidden="false" customHeight="false" outlineLevel="0" collapsed="false">
      <c r="A66" s="52" t="s">
        <v>768</v>
      </c>
      <c r="B66" s="106" t="n">
        <f aca="false">'Multi-Year Projections'!B47-B53</f>
        <v>-1029667.29270159</v>
      </c>
      <c r="C66" s="106" t="n">
        <f aca="false">'Multi-Year Projections'!C47</f>
        <v>120964.388275</v>
      </c>
      <c r="D66" s="106" t="n">
        <f aca="false">'Multi-Year Projections'!D47</f>
        <v>887804.34948675</v>
      </c>
      <c r="E66" s="106" t="n">
        <f aca="false">'Multi-Year Projections'!E47</f>
        <v>2236916.91597908</v>
      </c>
      <c r="F66" s="106" t="n">
        <f aca="false">'Multi-Year Projections'!F47</f>
        <v>4225115.23162407</v>
      </c>
      <c r="G66" s="106" t="n">
        <f aca="false">SUM(B66:F66)</f>
        <v>6441133.59266331</v>
      </c>
    </row>
    <row r="67" customFormat="false" ht="15.75" hidden="false" customHeight="false" outlineLevel="0" collapsed="false">
      <c r="A67" s="49" t="s">
        <v>769</v>
      </c>
      <c r="B67" s="71" t="n">
        <f aca="false">IF(B50=0,0,B66/B50)</f>
        <v>-2.59191474804449</v>
      </c>
      <c r="C67" s="71" t="n">
        <f aca="false">IF(C50=0,0,C66/C50)</f>
        <v>0.122157321708006</v>
      </c>
      <c r="D67" s="71" t="n">
        <f aca="false">IF(D50=0,0,D66/D50)</f>
        <v>0.411925988114565</v>
      </c>
      <c r="E67" s="71" t="n">
        <f aca="false">IF(E50=0,0,E66/E50)</f>
        <v>0.559867359533653</v>
      </c>
      <c r="F67" s="71" t="n">
        <f aca="false">IF(F50=0,0,F66/F50)</f>
        <v>0.646105041019143</v>
      </c>
    </row>
    <row r="68" customFormat="false" ht="15.75" hidden="false" customHeight="false" outlineLevel="0" collapsed="false">
      <c r="A68" s="99" t="s">
        <v>770</v>
      </c>
      <c r="B68" s="53" t="str">
        <f aca="false">IF(B64&gt;0,"Year 1",IF(C64&gt;0,"Year 2",IF(D64&gt;0,"Year 3",IF(E64&gt;0,"Year 4",IF(F64&gt;0,"Year 5","Beyond Y5")))))</f>
        <v>Year 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52" colorId="64" zoomScale="125" zoomScaleNormal="125" zoomScalePageLayoutView="100" workbookViewId="0">
      <selection pane="topLeft" activeCell="C67" activeCellId="0" sqref="C67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.33"/>
    <col collapsed="false" customWidth="true" hidden="false" outlineLevel="0" max="3" min="3" style="0" width="56.67"/>
    <col collapsed="false" customWidth="true" hidden="false" outlineLevel="0" max="6" min="4" style="0" width="23.33"/>
    <col collapsed="false" customWidth="true" hidden="false" outlineLevel="0" max="7" min="7" style="0" width="33.33"/>
  </cols>
  <sheetData>
    <row r="1" customFormat="false" ht="18.75" hidden="false" customHeight="true" outlineLevel="0" collapsed="false">
      <c r="A1" s="43" t="s">
        <v>771</v>
      </c>
      <c r="B1" s="44"/>
      <c r="C1" s="44"/>
      <c r="D1" s="44"/>
      <c r="E1" s="44"/>
      <c r="F1" s="44"/>
      <c r="G1" s="44"/>
    </row>
    <row r="2" customFormat="false" ht="15.75" hidden="false" customHeight="false" outlineLevel="0" collapsed="false">
      <c r="A2" s="45" t="s">
        <v>772</v>
      </c>
      <c r="B2" s="46"/>
      <c r="C2" s="46"/>
      <c r="D2" s="46"/>
      <c r="E2" s="46"/>
      <c r="F2" s="46"/>
      <c r="G2" s="46"/>
    </row>
    <row r="4" customFormat="false" ht="15.75" hidden="false" customHeight="false" outlineLevel="0" collapsed="false">
      <c r="A4" s="45" t="s">
        <v>773</v>
      </c>
      <c r="B4" s="46"/>
      <c r="C4" s="46"/>
      <c r="D4" s="46"/>
      <c r="E4" s="46"/>
      <c r="F4" s="46"/>
      <c r="G4" s="46"/>
    </row>
    <row r="5" customFormat="false" ht="15.75" hidden="false" customHeight="false" outlineLevel="0" collapsed="false">
      <c r="A5" s="66" t="s">
        <v>161</v>
      </c>
      <c r="B5" s="67" t="s">
        <v>774</v>
      </c>
      <c r="C5" s="67" t="s">
        <v>775</v>
      </c>
      <c r="D5" s="67" t="s">
        <v>776</v>
      </c>
      <c r="E5" s="67" t="s">
        <v>777</v>
      </c>
      <c r="F5" s="67" t="s">
        <v>165</v>
      </c>
    </row>
    <row r="6" customFormat="false" ht="15.75" hidden="false" customHeight="false" outlineLevel="0" collapsed="false">
      <c r="A6" s="49" t="s">
        <v>778</v>
      </c>
      <c r="B6" s="55" t="n">
        <v>0.25</v>
      </c>
      <c r="C6" s="107" t="n">
        <v>0.5</v>
      </c>
      <c r="D6" s="107" t="n">
        <v>0.5</v>
      </c>
      <c r="E6" s="107" t="n">
        <v>0.6</v>
      </c>
      <c r="F6" s="49" t="s">
        <v>779</v>
      </c>
    </row>
    <row r="7" customFormat="false" ht="15.75" hidden="false" customHeight="false" outlineLevel="0" collapsed="false">
      <c r="A7" s="49" t="s">
        <v>780</v>
      </c>
      <c r="B7" s="55" t="n">
        <v>0.04</v>
      </c>
      <c r="C7" s="55" t="n">
        <v>0.05</v>
      </c>
      <c r="D7" s="107" t="n">
        <v>0.1</v>
      </c>
      <c r="E7" s="107" t="n">
        <v>0.1</v>
      </c>
      <c r="F7" s="49" t="s">
        <v>781</v>
      </c>
    </row>
    <row r="8" customFormat="false" ht="15.75" hidden="false" customHeight="false" outlineLevel="0" collapsed="false">
      <c r="A8" s="52" t="s">
        <v>782</v>
      </c>
      <c r="B8" s="108" t="n">
        <f aca="false">'Monthly P&amp;L'!N11</f>
        <v>1479</v>
      </c>
      <c r="C8" s="79" t="n">
        <v>750</v>
      </c>
      <c r="D8" s="79" t="n">
        <v>500</v>
      </c>
      <c r="E8" s="79" t="n">
        <v>350</v>
      </c>
      <c r="F8" s="49" t="s">
        <v>783</v>
      </c>
    </row>
    <row r="9" customFormat="false" ht="15.75" hidden="false" customHeight="false" outlineLevel="0" collapsed="false">
      <c r="A9" s="52" t="s">
        <v>712</v>
      </c>
      <c r="B9" s="74" t="s">
        <v>784</v>
      </c>
      <c r="C9" s="109" t="s">
        <v>785</v>
      </c>
      <c r="D9" s="110" t="s">
        <v>786</v>
      </c>
      <c r="E9" s="110" t="s">
        <v>787</v>
      </c>
      <c r="F9" s="49" t="s">
        <v>788</v>
      </c>
    </row>
    <row r="11" customFormat="false" ht="15.75" hidden="false" customHeight="false" outlineLevel="0" collapsed="false">
      <c r="A11" s="45" t="s">
        <v>789</v>
      </c>
      <c r="B11" s="46"/>
      <c r="C11" s="46"/>
      <c r="D11" s="46"/>
      <c r="E11" s="46"/>
      <c r="F11" s="46"/>
    </row>
    <row r="12" customFormat="false" ht="15.75" hidden="false" customHeight="false" outlineLevel="0" collapsed="false">
      <c r="A12" s="66" t="s">
        <v>790</v>
      </c>
      <c r="B12" s="67" t="s">
        <v>774</v>
      </c>
      <c r="C12" s="67" t="s">
        <v>791</v>
      </c>
      <c r="D12" s="66" t="s">
        <v>511</v>
      </c>
    </row>
    <row r="13" customFormat="false" ht="15.75" hidden="false" customHeight="false" outlineLevel="0" collapsed="false">
      <c r="A13" s="49" t="s">
        <v>792</v>
      </c>
      <c r="B13" s="51" t="s">
        <v>793</v>
      </c>
      <c r="C13" s="111" t="s">
        <v>794</v>
      </c>
      <c r="D13" s="49" t="s">
        <v>795</v>
      </c>
    </row>
    <row r="14" customFormat="false" ht="15.75" hidden="false" customHeight="false" outlineLevel="0" collapsed="false">
      <c r="A14" s="49" t="s">
        <v>796</v>
      </c>
      <c r="B14" s="51" t="s">
        <v>797</v>
      </c>
      <c r="C14" s="111" t="s">
        <v>798</v>
      </c>
      <c r="D14" s="49" t="s">
        <v>799</v>
      </c>
    </row>
    <row r="15" customFormat="false" ht="15.75" hidden="false" customHeight="false" outlineLevel="0" collapsed="false">
      <c r="A15" s="49" t="s">
        <v>800</v>
      </c>
      <c r="B15" s="51" t="s">
        <v>801</v>
      </c>
      <c r="C15" s="111" t="s">
        <v>802</v>
      </c>
      <c r="D15" s="49" t="s">
        <v>803</v>
      </c>
    </row>
    <row r="16" customFormat="false" ht="15.75" hidden="false" customHeight="false" outlineLevel="0" collapsed="false">
      <c r="A16" s="49" t="s">
        <v>804</v>
      </c>
      <c r="B16" s="51" t="s">
        <v>222</v>
      </c>
      <c r="C16" s="111" t="s">
        <v>317</v>
      </c>
      <c r="D16" s="49" t="s">
        <v>805</v>
      </c>
    </row>
    <row r="18" customFormat="false" ht="15.75" hidden="false" customHeight="false" outlineLevel="0" collapsed="false">
      <c r="A18" s="66" t="s">
        <v>806</v>
      </c>
      <c r="B18" s="67" t="s">
        <v>807</v>
      </c>
      <c r="C18" s="112" t="s">
        <v>808</v>
      </c>
      <c r="D18" s="67" t="s">
        <v>809</v>
      </c>
    </row>
    <row r="19" customFormat="false" ht="15.75" hidden="false" customHeight="false" outlineLevel="0" collapsed="false">
      <c r="A19" s="49" t="s">
        <v>810</v>
      </c>
      <c r="B19" s="70" t="n">
        <f aca="false">'Monthly P&amp;L'!N11</f>
        <v>1479</v>
      </c>
      <c r="C19" s="57" t="n">
        <v>350</v>
      </c>
      <c r="D19" s="71" t="n">
        <f aca="false">(C19-B19)/B19</f>
        <v>-0.763353617308993</v>
      </c>
    </row>
    <row r="20" customFormat="false" ht="15.75" hidden="false" customHeight="false" outlineLevel="0" collapsed="false">
      <c r="A20" s="49" t="s">
        <v>811</v>
      </c>
      <c r="B20" s="70" t="n">
        <f aca="false">'Monthly P&amp;L'!O23</f>
        <v>157261.25</v>
      </c>
      <c r="C20" s="57" t="n">
        <v>45000</v>
      </c>
      <c r="D20" s="71" t="n">
        <f aca="false">(C20-B20)/B20</f>
        <v>-0.713851950178445</v>
      </c>
    </row>
    <row r="21" customFormat="false" ht="15.75" hidden="false" customHeight="false" outlineLevel="0" collapsed="false">
      <c r="A21" s="49" t="s">
        <v>812</v>
      </c>
      <c r="B21" s="113" t="n">
        <f aca="false">'Monthly P&amp;L'!O53</f>
        <v>-436944.27270159</v>
      </c>
      <c r="C21" s="114" t="n">
        <v>-500000</v>
      </c>
      <c r="D21" s="71" t="n">
        <f aca="false">(C21-B21)/B21</f>
        <v>0.144310684995462</v>
      </c>
    </row>
    <row r="22" customFormat="false" ht="15.75" hidden="false" customHeight="false" outlineLevel="0" collapsed="false">
      <c r="A22" s="52" t="s">
        <v>712</v>
      </c>
      <c r="B22" s="51" t="s">
        <v>813</v>
      </c>
      <c r="C22" s="110" t="s">
        <v>814</v>
      </c>
    </row>
    <row r="24" customFormat="false" ht="15.75" hidden="false" customHeight="false" outlineLevel="0" collapsed="false">
      <c r="A24" s="45" t="s">
        <v>815</v>
      </c>
      <c r="B24" s="46"/>
      <c r="C24" s="46"/>
      <c r="D24" s="46"/>
      <c r="E24" s="46"/>
      <c r="F24" s="46"/>
      <c r="G24" s="46"/>
    </row>
    <row r="25" customFormat="false" ht="15.75" hidden="false" customHeight="false" outlineLevel="0" collapsed="false">
      <c r="A25" s="66" t="s">
        <v>161</v>
      </c>
      <c r="B25" s="67" t="s">
        <v>816</v>
      </c>
      <c r="C25" s="67" t="s">
        <v>817</v>
      </c>
      <c r="D25" s="115" t="s">
        <v>818</v>
      </c>
      <c r="E25" s="67" t="s">
        <v>819</v>
      </c>
      <c r="F25" s="67" t="s">
        <v>820</v>
      </c>
      <c r="G25" s="67" t="s">
        <v>165</v>
      </c>
    </row>
    <row r="26" customFormat="false" ht="15.75" hidden="false" customHeight="false" outlineLevel="0" collapsed="false">
      <c r="A26" s="49" t="s">
        <v>821</v>
      </c>
      <c r="B26" s="50" t="n">
        <v>22</v>
      </c>
      <c r="C26" s="50" t="n">
        <v>27</v>
      </c>
      <c r="D26" s="116" t="n">
        <f aca="false">Assumptions!B50</f>
        <v>32.25</v>
      </c>
      <c r="E26" s="50" t="n">
        <v>38</v>
      </c>
      <c r="F26" s="50" t="n">
        <v>45</v>
      </c>
    </row>
    <row r="27" customFormat="false" ht="15.75" hidden="false" customHeight="false" outlineLevel="0" collapsed="false">
      <c r="A27" s="49" t="s">
        <v>822</v>
      </c>
      <c r="B27" s="65" t="n">
        <f aca="false">ROUND(B20*(B26/D26),0)</f>
        <v>107279</v>
      </c>
      <c r="C27" s="65" t="n">
        <f aca="false">ROUND(B20*(C26/D26),0)</f>
        <v>131661</v>
      </c>
      <c r="D27" s="117" t="n">
        <f aca="false">B20</f>
        <v>157261.25</v>
      </c>
      <c r="E27" s="65" t="n">
        <f aca="false">ROUND(B20*(E26/D26),0)</f>
        <v>185300</v>
      </c>
      <c r="F27" s="65" t="n">
        <f aca="false">ROUND(B20*(F26/D26),0)</f>
        <v>219434</v>
      </c>
    </row>
    <row r="28" customFormat="false" ht="15.75" hidden="false" customHeight="false" outlineLevel="0" collapsed="false">
      <c r="A28" s="49" t="s">
        <v>823</v>
      </c>
      <c r="B28" s="71" t="n">
        <f aca="false">(B27-D27)/D27</f>
        <v>-0.317829408070965</v>
      </c>
      <c r="C28" s="71" t="n">
        <f aca="false">(C27-D27)/D27</f>
        <v>-0.162788035832095</v>
      </c>
      <c r="D28" s="53" t="s">
        <v>824</v>
      </c>
      <c r="E28" s="71" t="n">
        <f aca="false">(E27-D27)/D27</f>
        <v>0.178294080709647</v>
      </c>
      <c r="F28" s="71" t="n">
        <f aca="false">(F27-D27)/D27</f>
        <v>0.395346914767624</v>
      </c>
    </row>
    <row r="29" customFormat="false" ht="15.75" hidden="false" customHeight="false" outlineLevel="0" collapsed="false">
      <c r="A29" s="49" t="s">
        <v>825</v>
      </c>
      <c r="B29" s="71" t="n">
        <f aca="false">B26/Assumptions!$B$11</f>
        <v>0.0376068376068376</v>
      </c>
      <c r="C29" s="71" t="n">
        <f aca="false">C26/Assumptions!$B$11</f>
        <v>0.0461538461538462</v>
      </c>
      <c r="D29" s="118" t="n">
        <f aca="false">D26/Assumptions!$B$11</f>
        <v>0.0551282051282051</v>
      </c>
      <c r="E29" s="71" t="n">
        <f aca="false">E26/Assumptions!$B$11</f>
        <v>0.064957264957265</v>
      </c>
      <c r="F29" s="71" t="n">
        <f aca="false">F26/Assumptions!$B$11</f>
        <v>0.0769230769230769</v>
      </c>
      <c r="G29" s="49" t="s">
        <v>826</v>
      </c>
    </row>
    <row r="31" customFormat="false" ht="15.75" hidden="false" customHeight="false" outlineLevel="0" collapsed="false">
      <c r="A31" s="45" t="s">
        <v>827</v>
      </c>
      <c r="B31" s="46"/>
      <c r="C31" s="46"/>
      <c r="D31" s="46"/>
      <c r="E31" s="46"/>
      <c r="F31" s="46"/>
      <c r="G31" s="46"/>
    </row>
    <row r="32" customFormat="false" ht="15.75" hidden="false" customHeight="false" outlineLevel="0" collapsed="false">
      <c r="A32" s="66" t="s">
        <v>828</v>
      </c>
      <c r="B32" s="67" t="s">
        <v>829</v>
      </c>
      <c r="C32" s="67" t="s">
        <v>830</v>
      </c>
      <c r="D32" s="67" t="s">
        <v>831</v>
      </c>
      <c r="E32" s="67" t="s">
        <v>832</v>
      </c>
      <c r="F32" s="67" t="s">
        <v>833</v>
      </c>
    </row>
    <row r="33" customFormat="false" ht="15.75" hidden="false" customHeight="false" outlineLevel="0" collapsed="false">
      <c r="A33" s="51" t="n">
        <v>500</v>
      </c>
      <c r="B33" s="65" t="n">
        <f aca="false">A33*Assumptions!$B$50</f>
        <v>16125</v>
      </c>
      <c r="C33" s="65" t="n">
        <f aca="false">A33*Assumptions!$B$59+Assumptions!$B$63+Assumptions!$B$64+Assumptions!$B$65</f>
        <v>5725</v>
      </c>
      <c r="D33" s="65" t="n">
        <f aca="false">Assumptions!$C$87+Assumptions!$B$69+Assumptions!$C$98+Assumptions!$C$85</f>
        <v>24066.6666666667</v>
      </c>
      <c r="E33" s="106" t="n">
        <f aca="false">B33-C33-D33</f>
        <v>-13666.6666666667</v>
      </c>
      <c r="F33" s="51" t="s">
        <v>834</v>
      </c>
    </row>
    <row r="34" customFormat="false" ht="15.75" hidden="false" customHeight="false" outlineLevel="0" collapsed="false">
      <c r="A34" s="51" t="n">
        <v>1000</v>
      </c>
      <c r="B34" s="65" t="n">
        <f aca="false">A34*Assumptions!$B$50</f>
        <v>32250</v>
      </c>
      <c r="C34" s="65" t="n">
        <f aca="false">A34*Assumptions!$B$59+Assumptions!$B$63+Assumptions!$B$64+Assumptions!$B$65</f>
        <v>10050</v>
      </c>
      <c r="D34" s="65" t="n">
        <f aca="false">Assumptions!$C$87+Assumptions!$B$69+Assumptions!$C$98+Assumptions!$C$85</f>
        <v>24066.6666666667</v>
      </c>
      <c r="E34" s="106" t="n">
        <f aca="false">B34-C34-D34</f>
        <v>-1866.66666666666</v>
      </c>
      <c r="F34" s="51" t="s">
        <v>834</v>
      </c>
    </row>
    <row r="35" customFormat="false" ht="15.75" hidden="false" customHeight="false" outlineLevel="0" collapsed="false">
      <c r="A35" s="51" t="n">
        <v>1500</v>
      </c>
      <c r="B35" s="65" t="n">
        <f aca="false">A35*Assumptions!$B$50</f>
        <v>48375</v>
      </c>
      <c r="C35" s="65" t="n">
        <f aca="false">A35*Assumptions!$B$59+Assumptions!$B$63+Assumptions!$B$64+Assumptions!$B$65</f>
        <v>14375</v>
      </c>
      <c r="D35" s="65" t="n">
        <f aca="false">Assumptions!$C$87+Assumptions!$B$69+Assumptions!$C$98+Assumptions!$C$85</f>
        <v>24066.6666666667</v>
      </c>
      <c r="E35" s="106" t="n">
        <f aca="false">B35-C35-D35</f>
        <v>9933.33333333334</v>
      </c>
      <c r="F35" s="51" t="str">
        <f aca="false">IF(E35&gt;=0,"✅ Profitable","❌ Loss")</f>
        <v>✅ Profitable</v>
      </c>
    </row>
    <row r="36" customFormat="false" ht="15.75" hidden="false" customHeight="false" outlineLevel="0" collapsed="false">
      <c r="A36" s="51" t="n">
        <v>2000</v>
      </c>
      <c r="B36" s="65" t="n">
        <f aca="false">A36*Assumptions!$B$50</f>
        <v>64500</v>
      </c>
      <c r="C36" s="65" t="n">
        <f aca="false">A36*Assumptions!$B$59+Assumptions!$B$63+Assumptions!$B$64+Assumptions!$B$65</f>
        <v>18700</v>
      </c>
      <c r="D36" s="65" t="n">
        <f aca="false">Assumptions!$C$87+Assumptions!$B$69+Assumptions!$C$98+Assumptions!$C$85</f>
        <v>24066.6666666667</v>
      </c>
      <c r="E36" s="106" t="n">
        <f aca="false">B36-C36-D36</f>
        <v>21733.3333333333</v>
      </c>
      <c r="F36" s="51" t="str">
        <f aca="false">IF(E36&gt;=0,"✅ Profitable","❌ Loss")</f>
        <v>✅ Profitable</v>
      </c>
    </row>
    <row r="37" customFormat="false" ht="15.75" hidden="false" customHeight="false" outlineLevel="0" collapsed="false">
      <c r="A37" s="51" t="n">
        <v>3000</v>
      </c>
      <c r="B37" s="65" t="n">
        <f aca="false">A37*Assumptions!$B$50</f>
        <v>96750</v>
      </c>
      <c r="C37" s="65" t="n">
        <f aca="false">A37*Assumptions!$B$59+Assumptions!$B$63+Assumptions!$B$64+Assumptions!$B$65</f>
        <v>27350</v>
      </c>
      <c r="D37" s="65" t="n">
        <f aca="false">Assumptions!$C$87+Assumptions!$B$69+Assumptions!$C$98+Assumptions!$C$85</f>
        <v>24066.6666666667</v>
      </c>
      <c r="E37" s="106" t="n">
        <f aca="false">B37-C37-D37</f>
        <v>45333.3333333333</v>
      </c>
      <c r="F37" s="51" t="str">
        <f aca="false">IF(E37&gt;=0,"✅ Profitable","❌ Loss")</f>
        <v>✅ Profitable</v>
      </c>
    </row>
    <row r="38" customFormat="false" ht="15.75" hidden="false" customHeight="false" outlineLevel="0" collapsed="false">
      <c r="A38" s="51" t="n">
        <v>5000</v>
      </c>
      <c r="B38" s="65" t="n">
        <f aca="false">A38*Assumptions!$B$50</f>
        <v>161250</v>
      </c>
      <c r="C38" s="65" t="n">
        <f aca="false">A38*Assumptions!$B$59+Assumptions!$B$63+Assumptions!$B$64+Assumptions!$B$65</f>
        <v>44650</v>
      </c>
      <c r="D38" s="65" t="n">
        <f aca="false">Assumptions!$C$87+Assumptions!$B$69+Assumptions!$C$98+Assumptions!$C$85</f>
        <v>24066.6666666667</v>
      </c>
      <c r="E38" s="106" t="n">
        <f aca="false">B38-C38-D38</f>
        <v>92533.3333333333</v>
      </c>
      <c r="F38" s="51" t="str">
        <f aca="false">IF(E38&gt;=0,"✅ Profitable","❌ Loss")</f>
        <v>✅ Profitable</v>
      </c>
    </row>
    <row r="40" customFormat="false" ht="15.75" hidden="false" customHeight="false" outlineLevel="0" collapsed="false">
      <c r="A40" s="119" t="s">
        <v>835</v>
      </c>
    </row>
    <row r="42" customFormat="false" ht="15.75" hidden="false" customHeight="false" outlineLevel="0" collapsed="false">
      <c r="A42" s="45" t="s">
        <v>836</v>
      </c>
      <c r="B42" s="120"/>
      <c r="C42" s="120"/>
      <c r="D42" s="120"/>
      <c r="E42" s="120"/>
      <c r="F42" s="120"/>
      <c r="G42" s="120"/>
    </row>
    <row r="43" customFormat="false" ht="15.75" hidden="false" customHeight="false" outlineLevel="0" collapsed="false">
      <c r="A43" s="121" t="s">
        <v>837</v>
      </c>
    </row>
    <row r="44" customFormat="false" ht="15.75" hidden="false" customHeight="false" outlineLevel="0" collapsed="false">
      <c r="A44" s="47" t="s">
        <v>838</v>
      </c>
      <c r="B44" s="48" t="s">
        <v>839</v>
      </c>
      <c r="C44" s="48" t="s">
        <v>840</v>
      </c>
      <c r="D44" s="48" t="s">
        <v>841</v>
      </c>
      <c r="E44" s="48" t="s">
        <v>842</v>
      </c>
      <c r="F44" s="48" t="s">
        <v>712</v>
      </c>
    </row>
    <row r="45" customFormat="false" ht="15.75" hidden="false" customHeight="false" outlineLevel="0" collapsed="false">
      <c r="A45" s="122" t="n">
        <v>0.025</v>
      </c>
      <c r="B45" s="123" t="n">
        <v>27</v>
      </c>
      <c r="C45" s="124" t="n">
        <f aca="false">B45*'Unit Economics'!$B$44</f>
        <v>476.857125</v>
      </c>
      <c r="D45" s="125" t="n">
        <f aca="false">C45/'Unit Economics'!$B$53</f>
        <v>10.596825</v>
      </c>
      <c r="E45" s="123" t="s">
        <v>843</v>
      </c>
      <c r="F45" s="0" t="s">
        <v>844</v>
      </c>
    </row>
    <row r="46" customFormat="false" ht="15.75" hidden="false" customHeight="false" outlineLevel="0" collapsed="false">
      <c r="A46" s="122" t="n">
        <v>0.05</v>
      </c>
      <c r="B46" s="0" t="n">
        <v>16</v>
      </c>
      <c r="C46" s="124" t="n">
        <f aca="false">B46*'Unit Economics'!$B$44</f>
        <v>282.582</v>
      </c>
      <c r="D46" s="125" t="n">
        <f aca="false">C46/'Unit Economics'!$B$53</f>
        <v>6.2796</v>
      </c>
      <c r="E46" s="123" t="s">
        <v>843</v>
      </c>
      <c r="F46" s="0" t="s">
        <v>845</v>
      </c>
    </row>
    <row r="47" customFormat="false" ht="15.75" hidden="false" customHeight="false" outlineLevel="0" collapsed="false">
      <c r="A47" s="122" t="n">
        <v>0.075</v>
      </c>
      <c r="B47" s="0" t="n">
        <v>11</v>
      </c>
      <c r="C47" s="124" t="n">
        <f aca="false">B47*'Unit Economics'!$B$44</f>
        <v>194.275125</v>
      </c>
      <c r="D47" s="125" t="n">
        <f aca="false">C47/'Unit Economics'!$B$53</f>
        <v>4.317225</v>
      </c>
      <c r="E47" s="123" t="s">
        <v>843</v>
      </c>
      <c r="F47" s="0" t="s">
        <v>846</v>
      </c>
    </row>
    <row r="48" customFormat="false" ht="15.75" hidden="false" customHeight="false" outlineLevel="0" collapsed="false">
      <c r="A48" s="122" t="n">
        <v>0.1</v>
      </c>
      <c r="B48" s="0" t="n">
        <v>8</v>
      </c>
      <c r="C48" s="124" t="n">
        <f aca="false">B48*'Unit Economics'!$B$44</f>
        <v>141.291</v>
      </c>
      <c r="D48" s="125" t="n">
        <f aca="false">C48/'Unit Economics'!$B$53</f>
        <v>3.1398</v>
      </c>
      <c r="E48" s="123" t="s">
        <v>847</v>
      </c>
      <c r="F48" s="0" t="s">
        <v>848</v>
      </c>
    </row>
    <row r="49" customFormat="false" ht="15.75" hidden="false" customHeight="false" outlineLevel="0" collapsed="false">
      <c r="A49" s="122" t="n">
        <v>0.15</v>
      </c>
      <c r="B49" s="0" t="n">
        <v>5.5</v>
      </c>
      <c r="C49" s="124" t="n">
        <f aca="false">B49*'Unit Economics'!$B$44</f>
        <v>97.1375625</v>
      </c>
      <c r="D49" s="125" t="n">
        <f aca="false">C49/'Unit Economics'!$B$53</f>
        <v>2.1586125</v>
      </c>
      <c r="E49" s="123" t="s">
        <v>849</v>
      </c>
      <c r="F49" s="0" t="s">
        <v>850</v>
      </c>
    </row>
    <row r="50" customFormat="false" ht="15.75" hidden="false" customHeight="false" outlineLevel="0" collapsed="false">
      <c r="A50" s="121" t="s">
        <v>851</v>
      </c>
    </row>
    <row r="52" customFormat="false" ht="15.75" hidden="false" customHeight="false" outlineLevel="0" collapsed="false">
      <c r="A52" s="45" t="s">
        <v>852</v>
      </c>
      <c r="B52" s="120"/>
      <c r="C52" s="120"/>
      <c r="D52" s="120"/>
      <c r="E52" s="120"/>
      <c r="F52" s="120"/>
      <c r="G52" s="120"/>
    </row>
    <row r="53" customFormat="false" ht="15.75" hidden="false" customHeight="false" outlineLevel="0" collapsed="false">
      <c r="A53" s="121" t="s">
        <v>853</v>
      </c>
    </row>
    <row r="54" customFormat="false" ht="15.75" hidden="false" customHeight="false" outlineLevel="0" collapsed="false">
      <c r="A54" s="47" t="s">
        <v>161</v>
      </c>
      <c r="B54" s="48" t="s">
        <v>446</v>
      </c>
      <c r="C54" s="48" t="s">
        <v>447</v>
      </c>
      <c r="D54" s="48" t="s">
        <v>165</v>
      </c>
    </row>
    <row r="55" customFormat="false" ht="15.75" hidden="false" customHeight="false" outlineLevel="0" collapsed="false">
      <c r="A55" s="0" t="s">
        <v>854</v>
      </c>
      <c r="B55" s="124" t="n">
        <f aca="false">Assumptions!B109</f>
        <v>240000</v>
      </c>
      <c r="C55" s="124" t="n">
        <f aca="false">B55*Assumptions!$B$15</f>
        <v>338400</v>
      </c>
      <c r="D55" s="0" t="s">
        <v>855</v>
      </c>
    </row>
    <row r="56" customFormat="false" ht="15.75" hidden="false" customHeight="false" outlineLevel="0" collapsed="false">
      <c r="A56" s="0" t="s">
        <v>856</v>
      </c>
      <c r="B56" s="124" t="n">
        <f aca="false">'Monthly P&amp;L'!O53</f>
        <v>-436944.27270159</v>
      </c>
      <c r="C56" s="124" t="n">
        <f aca="false">B56*Assumptions!$B$15</f>
        <v>-616091.424509242</v>
      </c>
      <c r="D56" s="0" t="s">
        <v>857</v>
      </c>
    </row>
    <row r="57" customFormat="false" ht="15.75" hidden="false" customHeight="false" outlineLevel="0" collapsed="false">
      <c r="A57" s="0" t="s">
        <v>858</v>
      </c>
      <c r="B57" s="126" t="n">
        <f aca="false">ABS(B56)+B55</f>
        <v>676944.27270159</v>
      </c>
      <c r="C57" s="126" t="n">
        <f aca="false">B57*Assumptions!$B$15</f>
        <v>954491.424509242</v>
      </c>
      <c r="D57" s="0" t="s">
        <v>859</v>
      </c>
    </row>
    <row r="58" customFormat="false" ht="15.75" hidden="false" customHeight="false" outlineLevel="0" collapsed="false">
      <c r="A58" s="0" t="s">
        <v>860</v>
      </c>
      <c r="B58" s="127" t="n">
        <f aca="false">B55-B57</f>
        <v>-436944.27270159</v>
      </c>
      <c r="C58" s="127" t="n">
        <f aca="false">B58*Assumptions!$B$15</f>
        <v>-616091.424509242</v>
      </c>
      <c r="D58" s="0" t="s">
        <v>861</v>
      </c>
    </row>
    <row r="59" customFormat="false" ht="15.75" hidden="false" customHeight="false" outlineLevel="0" collapsed="false">
      <c r="A59" s="0" t="s">
        <v>862</v>
      </c>
      <c r="B59" s="126" t="n">
        <f aca="false">ROUND(ABS(B58)*1.3,-3)</f>
        <v>568000</v>
      </c>
      <c r="C59" s="126" t="n">
        <f aca="false">B59*Assumptions!$B$15</f>
        <v>800880</v>
      </c>
      <c r="D59" s="0" t="s">
        <v>863</v>
      </c>
    </row>
    <row r="60" customFormat="false" ht="15.75" hidden="false" customHeight="false" outlineLevel="0" collapsed="false">
      <c r="A60" s="0" t="s">
        <v>864</v>
      </c>
      <c r="B60" s="123" t="n">
        <f aca="false">ROUND((B55+B59)/ABS('Cash Flow'!N18),1)</f>
        <v>16.7</v>
      </c>
      <c r="C60" s="0" t="s">
        <v>689</v>
      </c>
      <c r="D60" s="0" t="s">
        <v>865</v>
      </c>
    </row>
    <row r="62" customFormat="false" ht="15.75" hidden="false" customHeight="false" outlineLevel="0" collapsed="false">
      <c r="A62" s="45" t="s">
        <v>866</v>
      </c>
      <c r="B62" s="120"/>
      <c r="C62" s="120"/>
      <c r="D62" s="120"/>
      <c r="E62" s="120"/>
      <c r="F62" s="120"/>
      <c r="G62" s="120"/>
    </row>
    <row r="63" customFormat="false" ht="15.75" hidden="false" customHeight="false" outlineLevel="0" collapsed="false">
      <c r="A63" s="121" t="s">
        <v>867</v>
      </c>
    </row>
    <row r="64" customFormat="false" ht="15.75" hidden="false" customHeight="false" outlineLevel="0" collapsed="false">
      <c r="A64" s="47" t="s">
        <v>868</v>
      </c>
      <c r="B64" s="48" t="s">
        <v>869</v>
      </c>
      <c r="C64" s="48" t="s">
        <v>870</v>
      </c>
      <c r="D64" s="48" t="s">
        <v>871</v>
      </c>
      <c r="E64" s="48" t="s">
        <v>872</v>
      </c>
    </row>
    <row r="65" customFormat="false" ht="15.75" hidden="false" customHeight="false" outlineLevel="0" collapsed="false">
      <c r="A65" s="0" t="s">
        <v>229</v>
      </c>
      <c r="B65" s="0" t="s">
        <v>230</v>
      </c>
      <c r="C65" s="0" t="s">
        <v>873</v>
      </c>
      <c r="D65" s="0" t="s">
        <v>874</v>
      </c>
      <c r="E65" s="0" t="s">
        <v>875</v>
      </c>
    </row>
    <row r="66" customFormat="false" ht="15.75" hidden="false" customHeight="false" outlineLevel="0" collapsed="false">
      <c r="A66" s="0" t="s">
        <v>876</v>
      </c>
      <c r="B66" s="0" t="s">
        <v>877</v>
      </c>
      <c r="C66" s="0" t="s">
        <v>878</v>
      </c>
      <c r="D66" s="0" t="s">
        <v>874</v>
      </c>
      <c r="E66" s="0" t="s">
        <v>879</v>
      </c>
    </row>
    <row r="67" customFormat="false" ht="15.75" hidden="false" customHeight="false" outlineLevel="0" collapsed="false">
      <c r="A67" s="0" t="s">
        <v>880</v>
      </c>
      <c r="B67" s="128" t="n">
        <v>0.65</v>
      </c>
      <c r="C67" s="0" t="s">
        <v>881</v>
      </c>
      <c r="D67" s="0" t="s">
        <v>874</v>
      </c>
      <c r="E67" s="0" t="s">
        <v>882</v>
      </c>
    </row>
    <row r="68" customFormat="false" ht="15.75" hidden="false" customHeight="false" outlineLevel="0" collapsed="false">
      <c r="A68" s="0" t="s">
        <v>883</v>
      </c>
      <c r="B68" s="0" t="s">
        <v>884</v>
      </c>
      <c r="C68" s="0" t="s">
        <v>885</v>
      </c>
      <c r="D68" s="0" t="s">
        <v>886</v>
      </c>
      <c r="E68" s="0" t="s">
        <v>887</v>
      </c>
    </row>
    <row r="69" customFormat="false" ht="15.75" hidden="false" customHeight="false" outlineLevel="0" collapsed="false">
      <c r="A69" s="0" t="s">
        <v>888</v>
      </c>
      <c r="B69" s="0" t="s">
        <v>889</v>
      </c>
      <c r="C69" s="0" t="s">
        <v>890</v>
      </c>
      <c r="D69" s="0" t="s">
        <v>874</v>
      </c>
      <c r="E69" s="0" t="s">
        <v>891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5" colorId="64" zoomScale="125" zoomScaleNormal="125" zoomScalePageLayoutView="100" workbookViewId="0">
      <selection pane="topLeft" activeCell="A7" activeCellId="0" sqref="A7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51.67"/>
    <col collapsed="false" customWidth="true" hidden="false" outlineLevel="0" max="4" min="2" style="0" width="19.16"/>
    <col collapsed="false" customWidth="true" hidden="false" outlineLevel="0" max="5" min="5" style="0" width="33.33"/>
    <col collapsed="false" customWidth="true" hidden="false" outlineLevel="0" max="8" min="6" style="0" width="19.16"/>
  </cols>
  <sheetData>
    <row r="1" customFormat="false" ht="18.75" hidden="false" customHeight="true" outlineLevel="0" collapsed="false">
      <c r="A1" s="43" t="s">
        <v>892</v>
      </c>
      <c r="B1" s="44"/>
      <c r="C1" s="44"/>
      <c r="D1" s="44"/>
      <c r="E1" s="44"/>
      <c r="F1" s="44"/>
      <c r="G1" s="44"/>
      <c r="H1" s="44"/>
    </row>
    <row r="2" customFormat="false" ht="15.75" hidden="false" customHeight="false" outlineLevel="0" collapsed="false">
      <c r="A2" s="45" t="s">
        <v>893</v>
      </c>
      <c r="B2" s="46"/>
      <c r="C2" s="46"/>
      <c r="D2" s="46"/>
      <c r="E2" s="46"/>
      <c r="F2" s="46"/>
      <c r="G2" s="46"/>
      <c r="H2" s="46"/>
    </row>
    <row r="4" customFormat="false" ht="15.75" hidden="false" customHeight="false" outlineLevel="0" collapsed="false">
      <c r="A4" s="66" t="s">
        <v>53</v>
      </c>
      <c r="B4" s="67" t="s">
        <v>756</v>
      </c>
      <c r="C4" s="67" t="s">
        <v>757</v>
      </c>
      <c r="D4" s="67" t="s">
        <v>758</v>
      </c>
      <c r="E4" s="67" t="s">
        <v>759</v>
      </c>
      <c r="F4" s="67" t="s">
        <v>760</v>
      </c>
      <c r="G4" s="67" t="s">
        <v>894</v>
      </c>
      <c r="H4" s="67" t="s">
        <v>761</v>
      </c>
    </row>
    <row r="5" customFormat="false" ht="15.75" hidden="false" customHeight="false" outlineLevel="0" collapsed="false">
      <c r="A5" s="72" t="s">
        <v>895</v>
      </c>
    </row>
    <row r="6" customFormat="false" ht="15.75" hidden="false" customHeight="false" outlineLevel="0" collapsed="false">
      <c r="A6" s="49" t="s">
        <v>896</v>
      </c>
      <c r="B6" s="51" t="s">
        <v>113</v>
      </c>
      <c r="C6" s="54" t="n">
        <v>1.2</v>
      </c>
      <c r="D6" s="54" t="n">
        <v>0.85</v>
      </c>
      <c r="E6" s="54" t="n">
        <v>0.6</v>
      </c>
      <c r="F6" s="54" t="n">
        <v>0.45</v>
      </c>
    </row>
    <row r="7" customFormat="false" ht="15.75" hidden="false" customHeight="false" outlineLevel="0" collapsed="false">
      <c r="A7" s="49" t="s">
        <v>897</v>
      </c>
      <c r="B7" s="51" t="s">
        <v>113</v>
      </c>
      <c r="C7" s="54" t="n">
        <v>0.05</v>
      </c>
      <c r="D7" s="54" t="n">
        <v>0.07</v>
      </c>
      <c r="E7" s="54" t="n">
        <v>0.05</v>
      </c>
      <c r="F7" s="54" t="n">
        <v>0.03</v>
      </c>
    </row>
    <row r="8" customFormat="false" ht="15.75" hidden="false" customHeight="false" outlineLevel="0" collapsed="false">
      <c r="A8" s="49" t="s">
        <v>898</v>
      </c>
      <c r="B8" s="51" t="s">
        <v>113</v>
      </c>
      <c r="C8" s="54" t="n">
        <v>0.3</v>
      </c>
      <c r="D8" s="54" t="n">
        <v>0.2</v>
      </c>
      <c r="E8" s="54" t="n">
        <v>0.15</v>
      </c>
      <c r="F8" s="54" t="n">
        <v>0.1</v>
      </c>
    </row>
    <row r="9" customFormat="false" ht="15.75" hidden="false" customHeight="false" outlineLevel="0" collapsed="false">
      <c r="A9" s="49" t="s">
        <v>899</v>
      </c>
      <c r="B9" s="50" t="n">
        <v>1</v>
      </c>
      <c r="C9" s="54" t="n">
        <v>3</v>
      </c>
      <c r="D9" s="54" t="n">
        <v>4</v>
      </c>
      <c r="E9" s="54" t="n">
        <v>6</v>
      </c>
      <c r="F9" s="54" t="n">
        <v>8</v>
      </c>
    </row>
    <row r="10" customFormat="false" ht="15.75" hidden="false" customHeight="false" outlineLevel="0" collapsed="false">
      <c r="A10" s="49" t="s">
        <v>900</v>
      </c>
      <c r="B10" s="50" t="n">
        <v>0</v>
      </c>
      <c r="C10" s="54" t="n">
        <v>1</v>
      </c>
      <c r="D10" s="54" t="n">
        <v>2.5</v>
      </c>
      <c r="E10" s="54" t="n">
        <v>4.5</v>
      </c>
      <c r="F10" s="54" t="n">
        <v>7</v>
      </c>
    </row>
    <row r="13" customFormat="false" ht="15.75" hidden="false" customHeight="false" outlineLevel="0" collapsed="false">
      <c r="A13" s="72" t="s">
        <v>901</v>
      </c>
    </row>
    <row r="14" customFormat="false" ht="15.75" hidden="false" customHeight="false" outlineLevel="0" collapsed="false">
      <c r="A14" s="49" t="s">
        <v>902</v>
      </c>
      <c r="B14" s="70" t="n">
        <f aca="false">'Monthly P&amp;L'!N11</f>
        <v>1479</v>
      </c>
      <c r="C14" s="65" t="n">
        <f aca="false">ROUND(B14*(1+C6),0)</f>
        <v>3254</v>
      </c>
      <c r="D14" s="65" t="n">
        <f aca="false">ROUND(C14*(1+D6),0)</f>
        <v>6020</v>
      </c>
      <c r="E14" s="65" t="n">
        <f aca="false">ROUND(D14*(1+E6),0)</f>
        <v>9632</v>
      </c>
      <c r="F14" s="65" t="n">
        <f aca="false">ROUND(E14*(1+F6),0)</f>
        <v>13966</v>
      </c>
      <c r="G14" s="71" t="n">
        <f aca="false">(F14/B14)^(1/4)-1</f>
        <v>0.752975982722953</v>
      </c>
    </row>
    <row r="15" customFormat="false" ht="15.75" hidden="false" customHeight="false" outlineLevel="0" collapsed="false">
      <c r="A15" s="49" t="s">
        <v>903</v>
      </c>
      <c r="B15" s="65" t="n">
        <f aca="false">'Monthly P&amp;L'!O6/2</f>
        <v>1112</v>
      </c>
      <c r="C15" s="65" t="n">
        <f aca="false">ROUND((B14+C14)/2,0)</f>
        <v>2367</v>
      </c>
      <c r="D15" s="65" t="n">
        <f aca="false">ROUND((C14+D14)/2,0)</f>
        <v>4637</v>
      </c>
      <c r="E15" s="65" t="n">
        <f aca="false">ROUND((D14+E14)/2,0)</f>
        <v>7826</v>
      </c>
      <c r="F15" s="65" t="n">
        <f aca="false">ROUND((E14+F14)/2,0)</f>
        <v>11799</v>
      </c>
    </row>
    <row r="16" customFormat="false" ht="15.75" hidden="false" customHeight="false" outlineLevel="0" collapsed="false">
      <c r="A16" s="49" t="s">
        <v>904</v>
      </c>
      <c r="B16" s="88" t="n">
        <f aca="false">Assumptions!B50</f>
        <v>32.25</v>
      </c>
      <c r="C16" s="87" t="n">
        <f aca="false">B16*(1+C7)</f>
        <v>33.8625</v>
      </c>
      <c r="D16" s="87" t="n">
        <f aca="false">C16*(1+D7)</f>
        <v>36.232875</v>
      </c>
      <c r="E16" s="87" t="n">
        <f aca="false">D16*(1+E7)</f>
        <v>38.04451875</v>
      </c>
      <c r="F16" s="87" t="n">
        <f aca="false">E16*(1+F7)</f>
        <v>39.1858543125</v>
      </c>
    </row>
    <row r="17" customFormat="false" ht="15.75" hidden="false" customHeight="false" outlineLevel="0" collapsed="false">
      <c r="A17" s="49" t="s">
        <v>905</v>
      </c>
      <c r="B17" s="50" t="n">
        <v>5</v>
      </c>
      <c r="C17" s="50" t="n">
        <v>9</v>
      </c>
      <c r="D17" s="50" t="n">
        <v>15</v>
      </c>
      <c r="E17" s="50" t="n">
        <v>22</v>
      </c>
      <c r="F17" s="50" t="n">
        <v>30</v>
      </c>
    </row>
    <row r="20" customFormat="false" ht="15.75" hidden="false" customHeight="false" outlineLevel="0" collapsed="false">
      <c r="A20" s="72" t="s">
        <v>609</v>
      </c>
    </row>
    <row r="21" customFormat="false" ht="15.75" hidden="false" customHeight="false" outlineLevel="0" collapsed="false">
      <c r="A21" s="49" t="s">
        <v>763</v>
      </c>
      <c r="B21" s="70" t="n">
        <f aca="false">'Monthly P&amp;L'!O23</f>
        <v>157261.25</v>
      </c>
      <c r="C21" s="65" t="n">
        <f aca="false">C15*C16*12</f>
        <v>961830.45</v>
      </c>
      <c r="D21" s="65" t="n">
        <f aca="false">D15*D16*12</f>
        <v>2016142.0965</v>
      </c>
      <c r="E21" s="65" t="n">
        <f aca="false">E15*E16*12</f>
        <v>3572836.84485</v>
      </c>
      <c r="F21" s="65" t="n">
        <f aca="false">F15*F16*12</f>
        <v>5548246.74039825</v>
      </c>
      <c r="H21" s="79" t="n">
        <f aca="false">SUM(B21:F21)</f>
        <v>12256317.3817483</v>
      </c>
    </row>
    <row r="22" customFormat="false" ht="15.75" hidden="false" customHeight="false" outlineLevel="0" collapsed="false">
      <c r="A22" s="49" t="s">
        <v>906</v>
      </c>
      <c r="B22" s="65" t="n">
        <v>0</v>
      </c>
      <c r="C22" s="65" t="n">
        <f aca="false">C15*C10*12</f>
        <v>28404</v>
      </c>
      <c r="D22" s="65" t="n">
        <f aca="false">D15*D10*12</f>
        <v>139110</v>
      </c>
      <c r="E22" s="65" t="n">
        <f aca="false">E15*E10*12</f>
        <v>422604</v>
      </c>
      <c r="F22" s="65" t="n">
        <f aca="false">F15*F10*12</f>
        <v>991116</v>
      </c>
      <c r="H22" s="79" t="n">
        <f aca="false">SUM(B22:F22)</f>
        <v>1581234</v>
      </c>
    </row>
    <row r="23" customFormat="false" ht="15.75" hidden="false" customHeight="false" outlineLevel="0" collapsed="false">
      <c r="A23" s="52" t="s">
        <v>616</v>
      </c>
      <c r="B23" s="63" t="n">
        <f aca="false">B21+B22</f>
        <v>157261.25</v>
      </c>
      <c r="C23" s="63" t="n">
        <f aca="false">C21+C22</f>
        <v>990234.45</v>
      </c>
      <c r="D23" s="63" t="n">
        <f aca="false">D21+D22</f>
        <v>2155252.0965</v>
      </c>
      <c r="E23" s="63" t="n">
        <f aca="false">E21+E22</f>
        <v>3995440.84485</v>
      </c>
      <c r="F23" s="63" t="n">
        <f aca="false">F21+F22</f>
        <v>6539362.74039825</v>
      </c>
      <c r="G23" s="129" t="n">
        <f aca="false">(F23/B23)^(1/4)-1</f>
        <v>1.53938427711959</v>
      </c>
      <c r="H23" s="63" t="n">
        <f aca="false">SUM(B23:F23)</f>
        <v>13837551.3817483</v>
      </c>
    </row>
    <row r="24" customFormat="false" ht="15.75" hidden="false" customHeight="false" outlineLevel="0" collapsed="false">
      <c r="A24" s="49" t="s">
        <v>907</v>
      </c>
      <c r="B24" s="51" t="s">
        <v>113</v>
      </c>
      <c r="C24" s="71" t="n">
        <f aca="false">(C23-B23)/B23</f>
        <v>5.29674792741378</v>
      </c>
      <c r="D24" s="71" t="n">
        <f aca="false">(D23-C23)/C23</f>
        <v>1.17650688329415</v>
      </c>
      <c r="E24" s="71" t="n">
        <f aca="false">(E23-D23)/D23</f>
        <v>0.85381601128627</v>
      </c>
      <c r="F24" s="71" t="n">
        <f aca="false">(F23-E23)/E23</f>
        <v>0.636706184457039</v>
      </c>
    </row>
    <row r="27" customFormat="false" ht="15.75" hidden="false" customHeight="false" outlineLevel="0" collapsed="false">
      <c r="A27" s="72" t="s">
        <v>908</v>
      </c>
    </row>
    <row r="28" customFormat="false" ht="15.75" hidden="false" customHeight="false" outlineLevel="0" collapsed="false">
      <c r="A28" s="49" t="s">
        <v>909</v>
      </c>
      <c r="B28" s="70" t="n">
        <f aca="false">'Monthly P&amp;L'!O26</f>
        <v>1651.243125</v>
      </c>
      <c r="C28" s="65" t="n">
        <f aca="false">C23*Assumptions!$B$13*Assumptions!$B$14</f>
        <v>10397.461725</v>
      </c>
      <c r="D28" s="65" t="n">
        <f aca="false">D23*Assumptions!$B$13*Assumptions!$B$14</f>
        <v>22630.14701325</v>
      </c>
      <c r="E28" s="65" t="n">
        <f aca="false">E23*Assumptions!$B$13*Assumptions!$B$14</f>
        <v>41952.128870925</v>
      </c>
      <c r="F28" s="65" t="n">
        <f aca="false">F23*Assumptions!$B$13*Assumptions!$B$14</f>
        <v>68663.3087741816</v>
      </c>
      <c r="H28" s="65" t="n">
        <f aca="false">SUM(B28:F28)</f>
        <v>145294.289508357</v>
      </c>
    </row>
    <row r="29" customFormat="false" ht="15.75" hidden="false" customHeight="false" outlineLevel="0" collapsed="false">
      <c r="A29" s="49" t="s">
        <v>619</v>
      </c>
      <c r="B29" s="70" t="n">
        <f aca="false">'Monthly P&amp;L'!O27</f>
        <v>69719</v>
      </c>
      <c r="C29" s="65" t="n">
        <f aca="false">C15*Assumptions!$B$59*12</f>
        <v>245694.6</v>
      </c>
      <c r="D29" s="65" t="n">
        <f aca="false">D15*Assumptions!$B$59*12</f>
        <v>481320.6</v>
      </c>
      <c r="E29" s="65" t="n">
        <f aca="false">E15*Assumptions!$B$59*12</f>
        <v>812338.8</v>
      </c>
      <c r="F29" s="65" t="n">
        <f aca="false">F15*Assumptions!$B$59*12</f>
        <v>1224736.2</v>
      </c>
      <c r="H29" s="65" t="n">
        <f aca="false">SUM(B29:F29)</f>
        <v>2833809.2</v>
      </c>
    </row>
    <row r="30" customFormat="false" ht="15.75" hidden="false" customHeight="false" outlineLevel="0" collapsed="false">
      <c r="A30" s="49" t="s">
        <v>910</v>
      </c>
      <c r="B30" s="70" t="n">
        <f aca="false">'Monthly P&amp;L'!O28+'Monthly P&amp;L'!O29+'Monthly P&amp;L'!O30</f>
        <v>34438.2995765898</v>
      </c>
      <c r="C30" s="65" t="n">
        <f aca="false">ROUND(B30*(C15/B15)^0.6,0)</f>
        <v>54187</v>
      </c>
      <c r="D30" s="65" t="n">
        <f aca="false">ROUND(C30*(D15/C15)^0.6,0)</f>
        <v>81118</v>
      </c>
      <c r="E30" s="65" t="n">
        <f aca="false">ROUND(D30*(E15/D15)^0.6,0)</f>
        <v>111045</v>
      </c>
      <c r="F30" s="65" t="n">
        <f aca="false">ROUND(E30*(F15/E15)^0.6,0)</f>
        <v>142063</v>
      </c>
      <c r="H30" s="65" t="n">
        <f aca="false">SUM(B30:F30)</f>
        <v>422851.29957659</v>
      </c>
    </row>
    <row r="31" customFormat="false" ht="15.75" hidden="false" customHeight="false" outlineLevel="0" collapsed="false">
      <c r="A31" s="49" t="s">
        <v>624</v>
      </c>
      <c r="B31" s="70" t="n">
        <f aca="false">'Monthly P&amp;L'!O31</f>
        <v>33360</v>
      </c>
      <c r="C31" s="65" t="n">
        <f aca="false">ROUND((C14-B14+C14*0.15)*Assumptions!$B$67,0)</f>
        <v>33947</v>
      </c>
      <c r="D31" s="65" t="n">
        <f aca="false">ROUND((D14-C14+D14*0.12)*Assumptions!$B$67,0)</f>
        <v>52326</v>
      </c>
      <c r="E31" s="65" t="n">
        <f aca="false">ROUND((E14-D14+E14*0.1)*Assumptions!$B$67,0)</f>
        <v>68628</v>
      </c>
      <c r="F31" s="65" t="n">
        <f aca="false">ROUND((F14-E14+F14*0.08)*Assumptions!$B$67,0)</f>
        <v>81769</v>
      </c>
      <c r="H31" s="65" t="n">
        <f aca="false">SUM(B31:F31)</f>
        <v>270030</v>
      </c>
    </row>
    <row r="32" customFormat="false" ht="15.75" hidden="false" customHeight="false" outlineLevel="0" collapsed="false">
      <c r="A32" s="52" t="s">
        <v>626</v>
      </c>
      <c r="B32" s="79" t="n">
        <f aca="false">SUM(B28:B31)</f>
        <v>139168.54270159</v>
      </c>
      <c r="C32" s="79" t="n">
        <f aca="false">SUM(C28:C31)</f>
        <v>344226.061725</v>
      </c>
      <c r="D32" s="79" t="n">
        <f aca="false">SUM(D28:D31)</f>
        <v>637394.74701325</v>
      </c>
      <c r="E32" s="79" t="n">
        <f aca="false">SUM(E28:E31)</f>
        <v>1033963.92887093</v>
      </c>
      <c r="F32" s="79" t="n">
        <f aca="false">SUM(F28:F31)</f>
        <v>1517231.50877418</v>
      </c>
      <c r="H32" s="79" t="n">
        <f aca="false">SUM(B32:F32)</f>
        <v>3671984.78908495</v>
      </c>
    </row>
    <row r="34" customFormat="false" ht="15.75" hidden="false" customHeight="false" outlineLevel="0" collapsed="false">
      <c r="A34" s="52" t="s">
        <v>627</v>
      </c>
      <c r="B34" s="106" t="n">
        <f aca="false">B23-B32</f>
        <v>18092.7072984102</v>
      </c>
      <c r="C34" s="106" t="n">
        <f aca="false">C23-C32</f>
        <v>646008.388275</v>
      </c>
      <c r="D34" s="106" t="n">
        <f aca="false">D23-D32</f>
        <v>1517857.34948675</v>
      </c>
      <c r="E34" s="106" t="n">
        <f aca="false">E23-E32</f>
        <v>2961476.91597908</v>
      </c>
      <c r="F34" s="106" t="n">
        <f aca="false">F23-F32</f>
        <v>5022131.23162407</v>
      </c>
      <c r="H34" s="79" t="n">
        <f aca="false">SUM(B34:F34)</f>
        <v>10165566.5926633</v>
      </c>
    </row>
    <row r="35" customFormat="false" ht="15.75" hidden="false" customHeight="false" outlineLevel="0" collapsed="false">
      <c r="A35" s="49" t="s">
        <v>62</v>
      </c>
      <c r="B35" s="71" t="n">
        <f aca="false">IF(B23=0,0,B34/B23)</f>
        <v>0.115048731320718</v>
      </c>
      <c r="C35" s="71" t="n">
        <f aca="false">IF(C23=0,0,C34/C23)</f>
        <v>0.652379230267135</v>
      </c>
      <c r="D35" s="71" t="n">
        <f aca="false">IF(D23=0,0,D34/D23)</f>
        <v>0.704259771723066</v>
      </c>
      <c r="E35" s="71" t="n">
        <f aca="false">IF(E23=0,0,E34/E23)</f>
        <v>0.741214056465466</v>
      </c>
      <c r="F35" s="71" t="n">
        <f aca="false">IF(F23=0,0,F34/F23)</f>
        <v>0.767984806929095</v>
      </c>
    </row>
    <row r="37" customFormat="false" ht="15.75" hidden="false" customHeight="false" outlineLevel="0" collapsed="false">
      <c r="A37" s="103" t="s">
        <v>911</v>
      </c>
      <c r="B37" s="46"/>
      <c r="C37" s="46"/>
      <c r="D37" s="46"/>
      <c r="E37" s="46"/>
      <c r="F37" s="46"/>
      <c r="G37" s="46"/>
      <c r="H37" s="46"/>
    </row>
    <row r="38" customFormat="false" ht="15.75" hidden="false" customHeight="false" outlineLevel="0" collapsed="false">
      <c r="A38" s="49" t="s">
        <v>630</v>
      </c>
      <c r="B38" s="70" t="n">
        <f aca="false">'Monthly P&amp;L'!O38</f>
        <v>90000</v>
      </c>
      <c r="C38" s="65" t="n">
        <f aca="false">ROUND(B38*1.3,0)</f>
        <v>117000</v>
      </c>
      <c r="D38" s="65" t="n">
        <f aca="false">ROUND(C38*1.2,0)</f>
        <v>140400</v>
      </c>
      <c r="E38" s="65" t="n">
        <f aca="false">ROUND(D38*1.15,0)</f>
        <v>161460</v>
      </c>
      <c r="F38" s="65" t="n">
        <f aca="false">ROUND(E38*1.1,0)</f>
        <v>177606</v>
      </c>
      <c r="H38" s="65" t="n">
        <f aca="false">SUM(B38:F38)</f>
        <v>686466</v>
      </c>
    </row>
    <row r="39" customFormat="false" ht="15.75" hidden="false" customHeight="false" outlineLevel="0" collapsed="false">
      <c r="A39" s="49" t="s">
        <v>631</v>
      </c>
      <c r="B39" s="70" t="n">
        <f aca="false">'Monthly P&amp;L'!O39</f>
        <v>48360</v>
      </c>
      <c r="C39" s="65" t="n">
        <f aca="false">ROUND(B39*1.3,0)</f>
        <v>62868</v>
      </c>
      <c r="D39" s="65" t="n">
        <f aca="false">ROUND(C39*1.2,0)</f>
        <v>75442</v>
      </c>
      <c r="E39" s="65" t="n">
        <f aca="false">ROUND(D39*1.15,0)</f>
        <v>86758</v>
      </c>
      <c r="F39" s="65" t="n">
        <f aca="false">ROUND(E39*1.1,0)</f>
        <v>95434</v>
      </c>
      <c r="H39" s="65" t="n">
        <f aca="false">SUM(B39:F39)</f>
        <v>368862</v>
      </c>
    </row>
    <row r="40" customFormat="false" ht="15.75" hidden="false" customHeight="false" outlineLevel="0" collapsed="false">
      <c r="A40" s="49" t="s">
        <v>632</v>
      </c>
      <c r="B40" s="70" t="n">
        <f aca="false">'Monthly P&amp;L'!O40</f>
        <v>66720</v>
      </c>
      <c r="C40" s="65" t="n">
        <f aca="false">ROUND(B40*1.3,0)</f>
        <v>86736</v>
      </c>
      <c r="D40" s="65" t="n">
        <f aca="false">ROUND(C40*1.2,0)</f>
        <v>104083</v>
      </c>
      <c r="E40" s="65" t="n">
        <f aca="false">ROUND(D40*1.15,0)</f>
        <v>119695</v>
      </c>
      <c r="F40" s="65" t="n">
        <f aca="false">ROUND(E40*1.1,0)</f>
        <v>131665</v>
      </c>
      <c r="H40" s="65" t="n">
        <f aca="false">SUM(B40:F40)</f>
        <v>508899</v>
      </c>
    </row>
    <row r="41" customFormat="false" ht="15.75" hidden="false" customHeight="false" outlineLevel="0" collapsed="false">
      <c r="A41" s="49" t="s">
        <v>633</v>
      </c>
      <c r="B41" s="70" t="n">
        <f aca="false">'Monthly P&amp;L'!O41</f>
        <v>36000</v>
      </c>
      <c r="C41" s="65" t="n">
        <f aca="false">ROUND(B41*1.3,0)</f>
        <v>46800</v>
      </c>
      <c r="D41" s="65" t="n">
        <f aca="false">ROUND(C41*1.2,0)</f>
        <v>56160</v>
      </c>
      <c r="E41" s="65" t="n">
        <f aca="false">ROUND(D41*1.15,0)</f>
        <v>64584</v>
      </c>
      <c r="F41" s="65" t="n">
        <f aca="false">ROUND(E41*1.1,0)</f>
        <v>71042</v>
      </c>
      <c r="H41" s="65" t="n">
        <f aca="false">SUM(B41:F41)</f>
        <v>274586</v>
      </c>
    </row>
    <row r="42" customFormat="false" ht="15.75" hidden="false" customHeight="false" outlineLevel="0" collapsed="false">
      <c r="A42" s="49" t="s">
        <v>634</v>
      </c>
      <c r="B42" s="70" t="n">
        <f aca="false">'Monthly P&amp;L'!O42</f>
        <v>158000</v>
      </c>
      <c r="C42" s="65" t="n">
        <f aca="false">ROUND(B42*1.3,0)</f>
        <v>205400</v>
      </c>
      <c r="D42" s="65" t="n">
        <f aca="false">ROUND(C42*1.2,0)</f>
        <v>246480</v>
      </c>
      <c r="E42" s="65" t="n">
        <f aca="false">ROUND(D42*1.15,0)</f>
        <v>283452</v>
      </c>
      <c r="F42" s="65" t="n">
        <f aca="false">ROUND(E42*1.1,0)</f>
        <v>311797</v>
      </c>
      <c r="H42" s="65" t="n">
        <f aca="false">SUM(B42:F42)</f>
        <v>1205129</v>
      </c>
    </row>
    <row r="43" customFormat="false" ht="15.75" hidden="false" customHeight="false" outlineLevel="0" collapsed="false">
      <c r="A43" s="119" t="s">
        <v>635</v>
      </c>
      <c r="B43" s="70" t="n">
        <f aca="false">'Monthly P&amp;L'!O43</f>
        <v>4800</v>
      </c>
      <c r="C43" s="65" t="n">
        <f aca="false">ROUND(B43*1.3,0)</f>
        <v>6240</v>
      </c>
      <c r="D43" s="65" t="n">
        <f aca="false">ROUND(C43*1.2,0)</f>
        <v>7488</v>
      </c>
      <c r="E43" s="65" t="n">
        <f aca="false">ROUND(D43*1.15,0)</f>
        <v>8611</v>
      </c>
      <c r="F43" s="65" t="n">
        <f aca="false">ROUND(E43*1.1,0)</f>
        <v>9472</v>
      </c>
      <c r="H43" s="65" t="n">
        <f aca="false">SUM(B43:F43)</f>
        <v>36611</v>
      </c>
    </row>
    <row r="44" customFormat="false" ht="15.75" hidden="false" customHeight="false" outlineLevel="0" collapsed="false">
      <c r="A44" s="130" t="s">
        <v>912</v>
      </c>
      <c r="B44" s="108" t="n">
        <f aca="false">'Monthly P&amp;L'!O45-'Monthly P&amp;L'!O44</f>
        <v>403880</v>
      </c>
      <c r="C44" s="79" t="n">
        <v>0</v>
      </c>
      <c r="D44" s="79" t="n">
        <v>0</v>
      </c>
      <c r="E44" s="79" t="n">
        <v>0</v>
      </c>
      <c r="F44" s="79" t="n">
        <v>0</v>
      </c>
      <c r="H44" s="79" t="n">
        <f aca="false">SUM(B44:F44)</f>
        <v>403880</v>
      </c>
    </row>
    <row r="45" customFormat="false" ht="15.75" hidden="false" customHeight="false" outlineLevel="0" collapsed="false">
      <c r="A45" s="130" t="s">
        <v>638</v>
      </c>
      <c r="B45" s="108" t="n">
        <f aca="false">SUM(B38:B44)</f>
        <v>807760</v>
      </c>
      <c r="C45" s="79" t="n">
        <f aca="false">SUM(C38:C44)</f>
        <v>525044</v>
      </c>
      <c r="D45" s="79" t="n">
        <f aca="false">SUM(D38:D44)</f>
        <v>630053</v>
      </c>
      <c r="E45" s="79" t="n">
        <f aca="false">SUM(E38:E44)</f>
        <v>724560</v>
      </c>
      <c r="F45" s="79" t="n">
        <f aca="false">SUM(F38:F44)</f>
        <v>797016</v>
      </c>
      <c r="H45" s="79" t="n">
        <f aca="false">SUM(B45:F45)</f>
        <v>3484433</v>
      </c>
    </row>
    <row r="47" customFormat="false" ht="15.75" hidden="false" customHeight="false" outlineLevel="0" collapsed="false">
      <c r="A47" s="104" t="s">
        <v>639</v>
      </c>
      <c r="B47" s="105" t="n">
        <f aca="false">B34-B45</f>
        <v>-789667.29270159</v>
      </c>
      <c r="C47" s="105" t="n">
        <f aca="false">C34-C45</f>
        <v>120964.388275</v>
      </c>
      <c r="D47" s="105" t="n">
        <f aca="false">D34-D45</f>
        <v>887804.34948675</v>
      </c>
      <c r="E47" s="105" t="n">
        <f aca="false">E34-E45</f>
        <v>2236916.91597908</v>
      </c>
      <c r="F47" s="105" t="n">
        <f aca="false">F34-F45</f>
        <v>4225115.23162407</v>
      </c>
      <c r="G47" s="44"/>
      <c r="H47" s="105" t="n">
        <f aca="false">SUM(B47:F47)</f>
        <v>6681133.59266331</v>
      </c>
    </row>
    <row r="48" customFormat="false" ht="15.75" hidden="false" customHeight="false" outlineLevel="0" collapsed="false">
      <c r="A48" s="49" t="s">
        <v>913</v>
      </c>
      <c r="B48" s="71" t="n">
        <f aca="false">IF(B23=0,0,B47/B23)</f>
        <v>-5.02137235143171</v>
      </c>
      <c r="C48" s="71" t="n">
        <f aca="false">IF(C23=0,0,C47/C23)</f>
        <v>0.122157321708006</v>
      </c>
      <c r="D48" s="71" t="n">
        <f aca="false">IF(D23=0,0,D47/D23)</f>
        <v>0.411925988114565</v>
      </c>
      <c r="E48" s="71" t="n">
        <f aca="false">IF(E23=0,0,E47/E23)</f>
        <v>0.559867359533653</v>
      </c>
      <c r="F48" s="71" t="n">
        <f aca="false">IF(F23=0,0,F47/F23)</f>
        <v>0.646105041019143</v>
      </c>
    </row>
    <row r="50" customFormat="false" ht="15.75" hidden="false" customHeight="false" outlineLevel="0" collapsed="false">
      <c r="A50" s="49" t="s">
        <v>914</v>
      </c>
      <c r="B50" s="70" t="n">
        <f aca="false">'Monthly P&amp;L'!O50</f>
        <v>11666.6666666667</v>
      </c>
      <c r="C50" s="65" t="n">
        <f aca="false">ROUND(B50*1.15,0)</f>
        <v>13417</v>
      </c>
      <c r="D50" s="65" t="n">
        <f aca="false">ROUND(C50*1.1,0)</f>
        <v>14759</v>
      </c>
      <c r="E50" s="65" t="n">
        <f aca="false">ROUND(D50*1.08,0)</f>
        <v>15940</v>
      </c>
      <c r="F50" s="65" t="n">
        <f aca="false">ROUND(E50*1.05,0)</f>
        <v>16737</v>
      </c>
      <c r="H50" s="65" t="n">
        <f aca="false">SUM(B50:F50)</f>
        <v>72519.6666666667</v>
      </c>
    </row>
    <row r="51" customFormat="false" ht="15.75" hidden="false" customHeight="false" outlineLevel="0" collapsed="false">
      <c r="A51" s="49" t="s">
        <v>915</v>
      </c>
      <c r="B51" s="70" t="n">
        <f aca="false">'Monthly P&amp;L'!O51</f>
        <v>0</v>
      </c>
      <c r="C51" s="65" t="n">
        <f aca="false">ROUND(B51*0.85,0)</f>
        <v>0</v>
      </c>
      <c r="D51" s="65" t="n">
        <f aca="false">ROUND(C51*0.7,0)</f>
        <v>0</v>
      </c>
      <c r="E51" s="65" t="n">
        <f aca="false">ROUND(D51*0.5,0)</f>
        <v>0</v>
      </c>
      <c r="F51" s="65" t="n">
        <f aca="false">ROUND(E51*0.3,0)</f>
        <v>0</v>
      </c>
      <c r="H51" s="65" t="n">
        <f aca="false">SUM(B51:F51)</f>
        <v>0</v>
      </c>
    </row>
    <row r="53" customFormat="false" ht="15.75" hidden="false" customHeight="false" outlineLevel="0" collapsed="false">
      <c r="A53" s="104" t="s">
        <v>916</v>
      </c>
      <c r="B53" s="105" t="n">
        <f aca="false">B47-B50-B51</f>
        <v>-801333.959368256</v>
      </c>
      <c r="C53" s="105" t="n">
        <f aca="false">C47-C50-C51</f>
        <v>107547.388275</v>
      </c>
      <c r="D53" s="105" t="n">
        <f aca="false">D47-D50-D51</f>
        <v>873045.34948675</v>
      </c>
      <c r="E53" s="105" t="n">
        <f aca="false">E47-E50-E51</f>
        <v>2220976.91597908</v>
      </c>
      <c r="F53" s="105" t="n">
        <f aca="false">F47-F50-F51</f>
        <v>4208378.23162407</v>
      </c>
      <c r="G53" s="44"/>
      <c r="H53" s="105" t="n">
        <f aca="false">SUM(B53:F53)</f>
        <v>6608613.92599664</v>
      </c>
    </row>
    <row r="54" customFormat="false" ht="15.75" hidden="false" customHeight="false" outlineLevel="0" collapsed="false">
      <c r="A54" s="49" t="s">
        <v>917</v>
      </c>
      <c r="B54" s="71" t="n">
        <f aca="false">IF(B23=0,0,B53/B23)</f>
        <v>-5.09555888286693</v>
      </c>
      <c r="C54" s="71" t="n">
        <f aca="false">IF(C23=0,0,C53/C23)</f>
        <v>0.108608005179985</v>
      </c>
      <c r="D54" s="71" t="n">
        <f aca="false">IF(D23=0,0,D53/D23)</f>
        <v>0.405078065301281</v>
      </c>
      <c r="E54" s="71" t="n">
        <f aca="false">IF(E23=0,0,E53/E23)</f>
        <v>0.55587781229244</v>
      </c>
      <c r="F54" s="71" t="n">
        <f aca="false">IF(F23=0,0,F53/F23)</f>
        <v>0.643545617316188</v>
      </c>
    </row>
    <row r="55" customFormat="false" ht="15.75" hidden="false" customHeight="false" outlineLevel="0" collapsed="false">
      <c r="A55" s="52" t="s">
        <v>918</v>
      </c>
      <c r="B55" s="106" t="n">
        <f aca="false">B53</f>
        <v>-801333.959368256</v>
      </c>
      <c r="C55" s="106" t="n">
        <f aca="false">B55+C53</f>
        <v>-693786.571093256</v>
      </c>
      <c r="D55" s="106" t="n">
        <f aca="false">C55+D53</f>
        <v>179258.778393494</v>
      </c>
      <c r="E55" s="106" t="n">
        <f aca="false">D55+E53</f>
        <v>2400235.69437257</v>
      </c>
      <c r="F55" s="106" t="n">
        <f aca="false">E55+F53</f>
        <v>6608613.92599664</v>
      </c>
      <c r="H55" s="106" t="n">
        <f aca="false">F55</f>
        <v>6608613.92599664</v>
      </c>
    </row>
    <row r="57" customFormat="false" ht="15.75" hidden="false" customHeight="false" outlineLevel="0" collapsed="false">
      <c r="A57" s="103" t="s">
        <v>919</v>
      </c>
      <c r="B57" s="46"/>
      <c r="C57" s="46"/>
      <c r="D57" s="46"/>
      <c r="E57" s="46"/>
      <c r="F57" s="46"/>
      <c r="G57" s="46"/>
      <c r="H57" s="46"/>
    </row>
    <row r="58" customFormat="false" ht="15.75" hidden="false" customHeight="false" outlineLevel="0" collapsed="false">
      <c r="A58" s="49" t="s">
        <v>920</v>
      </c>
      <c r="B58" s="65" t="n">
        <f aca="false">IF(B15=0,0,B23/B15)</f>
        <v>141.421987410072</v>
      </c>
      <c r="C58" s="65" t="n">
        <f aca="false">IF(C15=0,0,C23/C15)</f>
        <v>418.35</v>
      </c>
      <c r="D58" s="65" t="n">
        <f aca="false">IF(D15=0,0,D23/D15)</f>
        <v>464.7945</v>
      </c>
      <c r="E58" s="65" t="n">
        <f aca="false">IF(E15=0,0,E23/E15)</f>
        <v>510.534225</v>
      </c>
      <c r="F58" s="65" t="n">
        <f aca="false">IF(F15=0,0,F23/F15)</f>
        <v>554.23025175</v>
      </c>
    </row>
    <row r="59" customFormat="false" ht="15.75" hidden="false" customHeight="false" outlineLevel="0" collapsed="false">
      <c r="A59" s="49" t="s">
        <v>921</v>
      </c>
      <c r="B59" s="71" t="n">
        <f aca="false">IF(B23=0,0,B32/B23)</f>
        <v>0.884951268679282</v>
      </c>
      <c r="C59" s="71" t="n">
        <f aca="false">IF(C23=0,0,C32/C23)</f>
        <v>0.347620769732865</v>
      </c>
      <c r="D59" s="71" t="n">
        <f aca="false">IF(D23=0,0,D32/D23)</f>
        <v>0.295740228276934</v>
      </c>
      <c r="E59" s="71" t="n">
        <f aca="false">IF(E23=0,0,E32/E23)</f>
        <v>0.258785943534535</v>
      </c>
      <c r="F59" s="71" t="n">
        <f aca="false">IF(F23=0,0,F32/F23)</f>
        <v>0.232015193070905</v>
      </c>
    </row>
    <row r="60" customFormat="false" ht="15.75" hidden="false" customHeight="false" outlineLevel="0" collapsed="false">
      <c r="A60" s="49" t="s">
        <v>922</v>
      </c>
      <c r="B60" s="71" t="n">
        <f aca="false">IF(B23=0,0,B45/B23)</f>
        <v>5.13642108275243</v>
      </c>
      <c r="C60" s="71" t="n">
        <f aca="false">IF(C23=0,0,C45/C23)</f>
        <v>0.53022190855913</v>
      </c>
      <c r="D60" s="71" t="n">
        <f aca="false">IF(D23=0,0,D45/D23)</f>
        <v>0.292333783608501</v>
      </c>
      <c r="E60" s="71" t="n">
        <f aca="false">IF(E23=0,0,E45/E23)</f>
        <v>0.181346696931813</v>
      </c>
      <c r="F60" s="71" t="n">
        <f aca="false">IF(F23=0,0,F45/F23)</f>
        <v>0.121879765909952</v>
      </c>
    </row>
    <row r="61" customFormat="false" ht="15.75" hidden="false" customHeight="false" outlineLevel="0" collapsed="false">
      <c r="A61" s="49" t="s">
        <v>923</v>
      </c>
      <c r="B61" s="51" t="s">
        <v>148</v>
      </c>
      <c r="C61" s="71" t="n">
        <f aca="false">(C23-B23)/B23</f>
        <v>5.29674792741378</v>
      </c>
      <c r="D61" s="71" t="n">
        <f aca="false">(D23-C23)/C23</f>
        <v>1.17650688329415</v>
      </c>
      <c r="E61" s="71" t="n">
        <f aca="false">(E23-D23)/D23</f>
        <v>0.85381601128627</v>
      </c>
      <c r="F61" s="71" t="n">
        <f aca="false">(F23-E23)/E23</f>
        <v>0.636706184457039</v>
      </c>
    </row>
    <row r="62" customFormat="false" ht="15.75" hidden="false" customHeight="false" outlineLevel="0" collapsed="false">
      <c r="A62" s="52" t="s">
        <v>924</v>
      </c>
      <c r="B62" s="53" t="str">
        <f aca="false">IF(B53&gt;0,"Year 1",IF(C53&gt;0,"Year 2",IF(D53&gt;0,"Year 3",IF(E53&gt;0,"Year 4",IF(F53&gt;0,"Year 5","Beyond Y5")))))</f>
        <v>Year 2</v>
      </c>
    </row>
    <row r="63" customFormat="false" ht="15.75" hidden="false" customHeight="false" outlineLevel="0" collapsed="false">
      <c r="A63" s="52" t="s">
        <v>925</v>
      </c>
      <c r="B63" s="53" t="str">
        <f aca="false">IF(B55&gt;0,"Year 1",IF(C55&gt;0,"Year 2",IF(D55&gt;0,"Year 3",IF(E55&gt;0,"Year 4",IF(F55&gt;0,"Year 5","Beyond Y5")))))</f>
        <v>Year 3</v>
      </c>
    </row>
    <row r="65" customFormat="false" ht="15.75" hidden="false" customHeight="false" outlineLevel="0" collapsed="false">
      <c r="A65" s="104" t="s">
        <v>926</v>
      </c>
      <c r="B65" s="44"/>
      <c r="C65" s="44"/>
      <c r="D65" s="44"/>
      <c r="E65" s="44"/>
      <c r="F65" s="44"/>
      <c r="G65" s="44"/>
      <c r="H65" s="44"/>
    </row>
    <row r="66" customFormat="false" ht="15.75" hidden="false" customHeight="false" outlineLevel="0" collapsed="false">
      <c r="A66" s="52" t="s">
        <v>927</v>
      </c>
      <c r="B66" s="79" t="n">
        <f aca="false">H23</f>
        <v>13837551.3817483</v>
      </c>
    </row>
    <row r="67" customFormat="false" ht="15.75" hidden="false" customHeight="false" outlineLevel="0" collapsed="false">
      <c r="A67" s="52" t="s">
        <v>928</v>
      </c>
      <c r="B67" s="106" t="n">
        <f aca="false">H53</f>
        <v>6608613.92599664</v>
      </c>
    </row>
    <row r="68" customFormat="false" ht="15.75" hidden="false" customHeight="false" outlineLevel="0" collapsed="false">
      <c r="A68" s="52" t="s">
        <v>929</v>
      </c>
      <c r="B68" s="129" t="n">
        <f aca="false">(F23/B23)^(1/4)-1</f>
        <v>1.53938427711959</v>
      </c>
    </row>
    <row r="71" customFormat="false" ht="18.75" hidden="false" customHeight="true" outlineLevel="0" collapsed="false">
      <c r="A71" s="131" t="s">
        <v>930</v>
      </c>
      <c r="B71" s="132"/>
      <c r="C71" s="132"/>
      <c r="D71" s="132"/>
      <c r="E71" s="132"/>
      <c r="F71" s="132"/>
      <c r="G71" s="132"/>
      <c r="H71" s="132"/>
    </row>
    <row r="73" customFormat="false" ht="15.75" hidden="false" customHeight="false" outlineLevel="0" collapsed="false">
      <c r="A73" s="103" t="s">
        <v>931</v>
      </c>
      <c r="B73" s="133" t="s">
        <v>932</v>
      </c>
      <c r="C73" s="133" t="s">
        <v>933</v>
      </c>
      <c r="D73" s="133" t="s">
        <v>934</v>
      </c>
      <c r="E73" s="133" t="s">
        <v>935</v>
      </c>
      <c r="F73" s="46"/>
      <c r="G73" s="46"/>
      <c r="H73" s="46"/>
    </row>
    <row r="74" customFormat="false" ht="15.75" hidden="false" customHeight="false" outlineLevel="0" collapsed="false">
      <c r="A74" s="49" t="s">
        <v>936</v>
      </c>
      <c r="B74" s="65" t="n">
        <f aca="false">F15</f>
        <v>11799</v>
      </c>
      <c r="C74" s="57" t="n">
        <v>23000</v>
      </c>
      <c r="D74" s="81" t="n">
        <f aca="false">C74-B74</f>
        <v>11201</v>
      </c>
      <c r="E74" s="49" t="s">
        <v>937</v>
      </c>
    </row>
    <row r="75" customFormat="false" ht="15.75" hidden="false" customHeight="false" outlineLevel="0" collapsed="false">
      <c r="A75" s="49" t="s">
        <v>938</v>
      </c>
      <c r="B75" s="65" t="n">
        <f aca="false">B23</f>
        <v>157261.25</v>
      </c>
      <c r="C75" s="57" t="n">
        <v>533613</v>
      </c>
      <c r="D75" s="81" t="n">
        <f aca="false">C75-B75</f>
        <v>376351.75</v>
      </c>
      <c r="E75" s="49" t="s">
        <v>939</v>
      </c>
    </row>
    <row r="76" customFormat="false" ht="15.75" hidden="false" customHeight="false" outlineLevel="0" collapsed="false">
      <c r="A76" s="49" t="s">
        <v>940</v>
      </c>
      <c r="B76" s="65" t="n">
        <f aca="false">F23</f>
        <v>6539362.74039825</v>
      </c>
      <c r="C76" s="57" t="n">
        <v>8000000</v>
      </c>
      <c r="D76" s="81" t="n">
        <f aca="false">C76-B76</f>
        <v>1460637.25960175</v>
      </c>
      <c r="E76" s="49" t="s">
        <v>941</v>
      </c>
    </row>
    <row r="78" customFormat="false" ht="15.75" hidden="false" customHeight="false" outlineLevel="0" collapsed="false">
      <c r="A78" s="103" t="s">
        <v>942</v>
      </c>
      <c r="B78" s="133" t="s">
        <v>511</v>
      </c>
      <c r="C78" s="133" t="s">
        <v>943</v>
      </c>
      <c r="D78" s="133" t="s">
        <v>944</v>
      </c>
      <c r="E78" s="133" t="s">
        <v>945</v>
      </c>
      <c r="F78" s="46"/>
      <c r="G78" s="46"/>
      <c r="H78" s="46"/>
    </row>
    <row r="79" customFormat="false" ht="15.75" hidden="false" customHeight="false" outlineLevel="0" collapsed="false">
      <c r="A79" s="52" t="s">
        <v>946</v>
      </c>
      <c r="B79" s="74" t="s">
        <v>947</v>
      </c>
      <c r="C79" s="51" t="s">
        <v>948</v>
      </c>
      <c r="D79" s="51" t="s">
        <v>949</v>
      </c>
      <c r="E79" s="74" t="s">
        <v>950</v>
      </c>
    </row>
    <row r="80" customFormat="false" ht="15.75" hidden="false" customHeight="false" outlineLevel="0" collapsed="false">
      <c r="A80" s="102" t="s">
        <v>951</v>
      </c>
    </row>
    <row r="81" customFormat="false" ht="15.75" hidden="false" customHeight="false" outlineLevel="0" collapsed="false">
      <c r="A81" s="52" t="s">
        <v>952</v>
      </c>
      <c r="B81" s="109" t="s">
        <v>953</v>
      </c>
      <c r="C81" s="51" t="s">
        <v>954</v>
      </c>
      <c r="D81" s="51" t="s">
        <v>955</v>
      </c>
      <c r="E81" s="109" t="s">
        <v>956</v>
      </c>
    </row>
    <row r="82" customFormat="false" ht="15.75" hidden="false" customHeight="false" outlineLevel="0" collapsed="false">
      <c r="A82" s="102" t="s">
        <v>957</v>
      </c>
    </row>
    <row r="83" customFormat="false" ht="15.75" hidden="false" customHeight="false" outlineLevel="0" collapsed="false">
      <c r="A83" s="52" t="s">
        <v>958</v>
      </c>
      <c r="B83" s="109" t="s">
        <v>953</v>
      </c>
      <c r="C83" s="51" t="s">
        <v>959</v>
      </c>
      <c r="D83" s="51" t="s">
        <v>960</v>
      </c>
      <c r="E83" s="109" t="s">
        <v>961</v>
      </c>
    </row>
    <row r="84" customFormat="false" ht="15.75" hidden="false" customHeight="false" outlineLevel="0" collapsed="false">
      <c r="A84" s="102" t="s">
        <v>962</v>
      </c>
    </row>
    <row r="85" customFormat="false" ht="15.75" hidden="false" customHeight="false" outlineLevel="0" collapsed="false">
      <c r="A85" s="52" t="s">
        <v>963</v>
      </c>
      <c r="B85" s="74" t="s">
        <v>947</v>
      </c>
      <c r="C85" s="51" t="s">
        <v>964</v>
      </c>
      <c r="D85" s="51" t="s">
        <v>949</v>
      </c>
      <c r="E85" s="74" t="s">
        <v>965</v>
      </c>
    </row>
    <row r="86" customFormat="false" ht="15.75" hidden="false" customHeight="false" outlineLevel="0" collapsed="false">
      <c r="A86" s="102" t="s">
        <v>966</v>
      </c>
    </row>
    <row r="87" customFormat="false" ht="15.75" hidden="false" customHeight="false" outlineLevel="0" collapsed="false">
      <c r="A87" s="52" t="s">
        <v>967</v>
      </c>
      <c r="B87" s="74" t="s">
        <v>947</v>
      </c>
      <c r="C87" s="51" t="s">
        <v>968</v>
      </c>
      <c r="D87" s="51" t="s">
        <v>955</v>
      </c>
      <c r="E87" s="74" t="s">
        <v>969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72"/>
  <sheetViews>
    <sheetView showFormulas="false" showGridLines="true" showRowColHeaders="true" showZeros="true" rightToLeft="false" tabSelected="true" showOutlineSymbols="true" defaultGridColor="true" view="normal" topLeftCell="A1" colorId="64" zoomScale="111" zoomScaleNormal="111" zoomScalePageLayoutView="100" workbookViewId="0">
      <selection pane="topLeft" activeCell="M64" activeCellId="0" sqref="M64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1.67"/>
    <col collapsed="false" customWidth="true" hidden="false" outlineLevel="0" max="5" min="2" style="0" width="18.33"/>
    <col collapsed="false" customWidth="true" hidden="false" outlineLevel="0" max="6" min="6" style="0" width="28.33"/>
    <col collapsed="false" customWidth="true" hidden="false" outlineLevel="0" max="7" min="7" style="0" width="21.67"/>
  </cols>
  <sheetData>
    <row r="1" customFormat="false" ht="24" hidden="false" customHeight="true" outlineLevel="0" collapsed="false">
      <c r="A1" s="134" t="s">
        <v>970</v>
      </c>
      <c r="B1" s="44"/>
      <c r="C1" s="44"/>
      <c r="D1" s="44"/>
      <c r="E1" s="44"/>
      <c r="F1" s="44"/>
      <c r="G1" s="44"/>
      <c r="H1" s="44"/>
    </row>
    <row r="2" customFormat="false" ht="15.75" hidden="false" customHeight="false" outlineLevel="0" collapsed="false">
      <c r="A2" s="102" t="s">
        <v>971</v>
      </c>
    </row>
    <row r="4" customFormat="false" ht="18" hidden="false" customHeight="true" outlineLevel="0" collapsed="false">
      <c r="A4" s="135" t="s">
        <v>972</v>
      </c>
      <c r="B4" s="46"/>
      <c r="C4" s="46"/>
      <c r="D4" s="46"/>
      <c r="E4" s="46"/>
      <c r="F4" s="46"/>
      <c r="G4" s="46"/>
      <c r="H4" s="46"/>
    </row>
    <row r="6" customFormat="false" ht="15.75" hidden="false" customHeight="false" outlineLevel="0" collapsed="false">
      <c r="A6" s="49" t="s">
        <v>973</v>
      </c>
    </row>
    <row r="7" customFormat="false" ht="15.75" hidden="false" customHeight="false" outlineLevel="0" collapsed="false">
      <c r="A7" s="49" t="s">
        <v>974</v>
      </c>
    </row>
    <row r="8" customFormat="false" ht="15.75" hidden="false" customHeight="false" outlineLevel="0" collapsed="false">
      <c r="A8" s="49" t="s">
        <v>975</v>
      </c>
    </row>
    <row r="10" customFormat="false" ht="18" hidden="false" customHeight="true" outlineLevel="0" collapsed="false">
      <c r="A10" s="135" t="s">
        <v>976</v>
      </c>
      <c r="B10" s="46"/>
      <c r="C10" s="46"/>
      <c r="D10" s="46"/>
      <c r="E10" s="46"/>
      <c r="F10" s="46"/>
      <c r="G10" s="46"/>
      <c r="H10" s="46"/>
    </row>
    <row r="11" customFormat="false" ht="15.75" hidden="false" customHeight="false" outlineLevel="0" collapsed="false">
      <c r="A11" s="66" t="s">
        <v>161</v>
      </c>
      <c r="B11" s="67" t="s">
        <v>255</v>
      </c>
      <c r="D11" s="66" t="s">
        <v>161</v>
      </c>
      <c r="E11" s="67" t="s">
        <v>255</v>
      </c>
    </row>
    <row r="12" customFormat="false" ht="15.75" hidden="false" customHeight="false" outlineLevel="0" collapsed="false">
      <c r="A12" s="49" t="s">
        <v>258</v>
      </c>
      <c r="B12" s="51" t="s">
        <v>977</v>
      </c>
      <c r="D12" s="49" t="s">
        <v>978</v>
      </c>
      <c r="E12" s="51" t="s">
        <v>979</v>
      </c>
    </row>
    <row r="13" customFormat="false" ht="15.75" hidden="false" customHeight="false" outlineLevel="0" collapsed="false">
      <c r="A13" s="49" t="s">
        <v>980</v>
      </c>
      <c r="B13" s="70" t="n">
        <f aca="false">Assumptions!B30</f>
        <v>25000</v>
      </c>
      <c r="D13" s="49" t="s">
        <v>981</v>
      </c>
      <c r="E13" s="136" t="n">
        <v>0.052</v>
      </c>
    </row>
    <row r="14" customFormat="false" ht="15.75" hidden="false" customHeight="false" outlineLevel="0" collapsed="false">
      <c r="A14" s="49" t="s">
        <v>982</v>
      </c>
      <c r="B14" s="70" t="n">
        <f aca="false">Assumptions!B28</f>
        <v>250</v>
      </c>
      <c r="D14" s="49" t="s">
        <v>983</v>
      </c>
      <c r="E14" s="51" t="s">
        <v>984</v>
      </c>
    </row>
    <row r="16" customFormat="false" ht="18" hidden="false" customHeight="true" outlineLevel="0" collapsed="false">
      <c r="A16" s="135" t="s">
        <v>985</v>
      </c>
      <c r="B16" s="46"/>
      <c r="C16" s="46"/>
      <c r="D16" s="46"/>
      <c r="E16" s="46"/>
      <c r="F16" s="46"/>
      <c r="G16" s="46"/>
      <c r="H16" s="46"/>
    </row>
    <row r="17" customFormat="false" ht="15.75" hidden="false" customHeight="false" outlineLevel="0" collapsed="false">
      <c r="A17" s="66" t="s">
        <v>102</v>
      </c>
      <c r="B17" s="67" t="s">
        <v>103</v>
      </c>
      <c r="C17" s="67" t="s">
        <v>986</v>
      </c>
      <c r="D17" s="67" t="s">
        <v>987</v>
      </c>
      <c r="E17" s="67" t="s">
        <v>988</v>
      </c>
      <c r="F17" s="67" t="s">
        <v>989</v>
      </c>
      <c r="G17" s="67" t="s">
        <v>990</v>
      </c>
    </row>
    <row r="18" customFormat="false" ht="15.75" hidden="false" customHeight="false" outlineLevel="0" collapsed="false">
      <c r="A18" s="49" t="s">
        <v>347</v>
      </c>
      <c r="B18" s="70" t="n">
        <f aca="false">Assumptions!B47</f>
        <v>20</v>
      </c>
      <c r="C18" s="137" t="n">
        <f aca="false">Assumptions!C47</f>
        <v>28.2</v>
      </c>
      <c r="D18" s="68" t="n">
        <f aca="false">Assumptions!E47</f>
        <v>6</v>
      </c>
      <c r="E18" s="69" t="n">
        <f aca="false">Assumptions!D47</f>
        <v>0.45</v>
      </c>
      <c r="F18" s="91" t="n">
        <f aca="false">'Tiered Plans'!B12</f>
        <v>0.0512820512820513</v>
      </c>
      <c r="G18" s="70" t="n">
        <f aca="false">'Unit Economics'!B10</f>
        <v>20</v>
      </c>
    </row>
    <row r="19" customFormat="false" ht="15.75" hidden="false" customHeight="false" outlineLevel="0" collapsed="false">
      <c r="A19" s="49" t="s">
        <v>349</v>
      </c>
      <c r="B19" s="70" t="n">
        <f aca="false">Assumptions!B48</f>
        <v>35</v>
      </c>
      <c r="C19" s="137" t="n">
        <f aca="false">Assumptions!C48</f>
        <v>49.35</v>
      </c>
      <c r="D19" s="68" t="n">
        <f aca="false">Assumptions!E48</f>
        <v>9</v>
      </c>
      <c r="E19" s="69" t="n">
        <f aca="false">Assumptions!D48</f>
        <v>0.35</v>
      </c>
      <c r="F19" s="91" t="n">
        <f aca="false">'Tiered Plans'!C12</f>
        <v>0.0598290598290598</v>
      </c>
      <c r="G19" s="70" t="n">
        <f aca="false">'Unit Economics'!C10</f>
        <v>200</v>
      </c>
    </row>
    <row r="20" customFormat="false" ht="15.75" hidden="false" customHeight="false" outlineLevel="0" collapsed="false">
      <c r="A20" s="49" t="s">
        <v>351</v>
      </c>
      <c r="B20" s="70" t="n">
        <f aca="false">Assumptions!B49</f>
        <v>55</v>
      </c>
      <c r="C20" s="137" t="n">
        <f aca="false">Assumptions!C49</f>
        <v>77.55</v>
      </c>
      <c r="D20" s="68" t="n">
        <f aca="false">Assumptions!E49</f>
        <v>12</v>
      </c>
      <c r="E20" s="69" t="n">
        <f aca="false">Assumptions!D49</f>
        <v>0.2</v>
      </c>
      <c r="F20" s="91" t="n">
        <f aca="false">'Tiered Plans'!D12</f>
        <v>0.0705128205128205</v>
      </c>
      <c r="G20" s="70" t="n">
        <f aca="false">'Unit Economics'!D10</f>
        <v>375</v>
      </c>
    </row>
    <row r="21" customFormat="false" ht="15.75" hidden="false" customHeight="false" outlineLevel="0" collapsed="false">
      <c r="A21" s="99" t="s">
        <v>991</v>
      </c>
      <c r="B21" s="138" t="n">
        <f aca="false">Assumptions!B50</f>
        <v>32.25</v>
      </c>
      <c r="C21" s="139" t="n">
        <f aca="false">B21*Assumptions!$B$15</f>
        <v>45.4725</v>
      </c>
      <c r="D21" s="140" t="n">
        <f aca="false">Assumptions!B9</f>
        <v>9</v>
      </c>
      <c r="E21" s="141" t="n">
        <v>1</v>
      </c>
      <c r="F21" s="142"/>
      <c r="G21" s="143" t="n">
        <f aca="false">'Unit Economics'!E10</f>
        <v>202.75</v>
      </c>
    </row>
    <row r="23" customFormat="false" ht="15.75" hidden="false" customHeight="false" outlineLevel="0" collapsed="false">
      <c r="A23" s="102" t="s">
        <v>992</v>
      </c>
    </row>
    <row r="25" customFormat="false" ht="18" hidden="false" customHeight="true" outlineLevel="0" collapsed="false">
      <c r="A25" s="135" t="s">
        <v>309</v>
      </c>
      <c r="B25" s="46"/>
      <c r="C25" s="46"/>
      <c r="D25" s="46"/>
      <c r="E25" s="46"/>
      <c r="F25" s="46"/>
      <c r="G25" s="46"/>
      <c r="H25" s="46"/>
    </row>
    <row r="26" customFormat="false" ht="15.75" hidden="false" customHeight="false" outlineLevel="0" collapsed="false">
      <c r="A26" s="66" t="s">
        <v>310</v>
      </c>
      <c r="B26" s="67" t="s">
        <v>311</v>
      </c>
      <c r="C26" s="67" t="s">
        <v>993</v>
      </c>
      <c r="D26" s="67" t="s">
        <v>987</v>
      </c>
      <c r="E26" s="67" t="s">
        <v>314</v>
      </c>
      <c r="F26" s="67" t="s">
        <v>994</v>
      </c>
    </row>
    <row r="27" customFormat="false" ht="15.75" hidden="false" customHeight="false" outlineLevel="0" collapsed="false">
      <c r="A27" s="49" t="s">
        <v>995</v>
      </c>
      <c r="B27" s="51" t="s">
        <v>316</v>
      </c>
      <c r="C27" s="70" t="n">
        <f aca="false">Assumptions!C34</f>
        <v>0</v>
      </c>
      <c r="D27" s="68" t="str">
        <f aca="false">Assumptions!D34</f>
        <v>5 trips/day</v>
      </c>
      <c r="E27" s="69" t="n">
        <f aca="false">Assumptions!B40</f>
        <v>0.25</v>
      </c>
      <c r="F27" s="49" t="s">
        <v>996</v>
      </c>
    </row>
    <row r="28" customFormat="false" ht="15.75" hidden="false" customHeight="false" outlineLevel="0" collapsed="false">
      <c r="A28" s="49" t="s">
        <v>997</v>
      </c>
      <c r="B28" s="51" t="s">
        <v>316</v>
      </c>
      <c r="C28" s="70" t="n">
        <f aca="false">Assumptions!C35</f>
        <v>10</v>
      </c>
      <c r="D28" s="68" t="str">
        <f aca="false">Assumptions!D35</f>
        <v>7 trips/day</v>
      </c>
      <c r="E28" s="69" t="n">
        <f aca="false">Assumptions!B41</f>
        <v>0.12</v>
      </c>
      <c r="F28" s="49" t="s">
        <v>998</v>
      </c>
    </row>
    <row r="29" customFormat="false" ht="15.75" hidden="false" customHeight="false" outlineLevel="0" collapsed="false">
      <c r="A29" s="49" t="s">
        <v>999</v>
      </c>
      <c r="B29" s="51" t="s">
        <v>323</v>
      </c>
      <c r="C29" s="51" t="s">
        <v>1000</v>
      </c>
      <c r="D29" s="144" t="s">
        <v>325</v>
      </c>
      <c r="E29" s="91" t="n">
        <f aca="false">Assumptions!B42</f>
        <v>0.04</v>
      </c>
      <c r="F29" s="49" t="s">
        <v>1001</v>
      </c>
    </row>
    <row r="30" customFormat="false" ht="15.75" hidden="false" customHeight="false" outlineLevel="0" collapsed="false">
      <c r="A30" s="49" t="s">
        <v>1002</v>
      </c>
      <c r="B30" s="51" t="s">
        <v>323</v>
      </c>
      <c r="C30" s="51" t="s">
        <v>1000</v>
      </c>
      <c r="D30" s="144" t="s">
        <v>325</v>
      </c>
      <c r="E30" s="91" t="n">
        <f aca="false">Assumptions!B43</f>
        <v>0.02</v>
      </c>
      <c r="F30" s="49" t="s">
        <v>1003</v>
      </c>
    </row>
    <row r="32" customFormat="false" ht="18" hidden="false" customHeight="true" outlineLevel="0" collapsed="false">
      <c r="A32" s="97" t="s">
        <v>1004</v>
      </c>
      <c r="B32" s="44"/>
      <c r="C32" s="44"/>
      <c r="D32" s="44"/>
      <c r="E32" s="44"/>
      <c r="F32" s="44"/>
      <c r="G32" s="44"/>
      <c r="H32" s="44"/>
    </row>
    <row r="33" customFormat="false" ht="15.75" hidden="false" customHeight="false" outlineLevel="0" collapsed="false">
      <c r="A33" s="66" t="s">
        <v>161</v>
      </c>
      <c r="B33" s="67" t="s">
        <v>756</v>
      </c>
      <c r="C33" s="67" t="s">
        <v>757</v>
      </c>
      <c r="D33" s="67" t="s">
        <v>758</v>
      </c>
      <c r="E33" s="67" t="s">
        <v>759</v>
      </c>
      <c r="F33" s="67" t="s">
        <v>760</v>
      </c>
    </row>
    <row r="34" customFormat="false" ht="15.75" hidden="false" customHeight="false" outlineLevel="0" collapsed="false">
      <c r="A34" s="49" t="s">
        <v>1005</v>
      </c>
      <c r="B34" s="70" t="n">
        <f aca="false">'Multi-Year Projections'!B14</f>
        <v>1479</v>
      </c>
      <c r="C34" s="70" t="n">
        <f aca="false">'Multi-Year Projections'!C14</f>
        <v>3254</v>
      </c>
      <c r="D34" s="70" t="n">
        <f aca="false">'Multi-Year Projections'!D14</f>
        <v>6020</v>
      </c>
      <c r="E34" s="70" t="n">
        <f aca="false">'Multi-Year Projections'!E14</f>
        <v>9632</v>
      </c>
      <c r="F34" s="70" t="n">
        <f aca="false">'Multi-Year Projections'!F14</f>
        <v>13966</v>
      </c>
    </row>
    <row r="35" customFormat="false" ht="15.75" hidden="false" customHeight="false" outlineLevel="0" collapsed="false">
      <c r="A35" s="49" t="s">
        <v>1006</v>
      </c>
      <c r="B35" s="70" t="n">
        <f aca="false">'Multi-Year Projections'!B23</f>
        <v>157261.25</v>
      </c>
      <c r="C35" s="70" t="n">
        <f aca="false">'Multi-Year Projections'!C23</f>
        <v>990234.45</v>
      </c>
      <c r="D35" s="70" t="n">
        <f aca="false">'Multi-Year Projections'!D23</f>
        <v>2155252.0965</v>
      </c>
      <c r="E35" s="70" t="n">
        <f aca="false">'Multi-Year Projections'!E23</f>
        <v>3995440.84485</v>
      </c>
      <c r="F35" s="70" t="n">
        <f aca="false">'Multi-Year Projections'!F23</f>
        <v>6539362.74039825</v>
      </c>
    </row>
    <row r="36" customFormat="false" ht="15.75" hidden="false" customHeight="false" outlineLevel="0" collapsed="false">
      <c r="A36" s="49" t="s">
        <v>1007</v>
      </c>
      <c r="B36" s="113" t="n">
        <f aca="false">'Multi-Year Projections'!B47</f>
        <v>-789667.29270159</v>
      </c>
      <c r="C36" s="113" t="n">
        <f aca="false">'Multi-Year Projections'!C47</f>
        <v>120964.388275</v>
      </c>
      <c r="D36" s="113" t="n">
        <f aca="false">'Multi-Year Projections'!D47</f>
        <v>887804.34948675</v>
      </c>
      <c r="E36" s="113" t="n">
        <f aca="false">'Multi-Year Projections'!E47</f>
        <v>2236916.91597908</v>
      </c>
      <c r="F36" s="113" t="n">
        <f aca="false">'Multi-Year Projections'!F47</f>
        <v>4225115.23162407</v>
      </c>
    </row>
    <row r="37" customFormat="false" ht="15.75" hidden="false" customHeight="false" outlineLevel="0" collapsed="false">
      <c r="A37" s="49" t="s">
        <v>1008</v>
      </c>
      <c r="B37" s="113" t="n">
        <f aca="false">'Multi-Year Projections'!B53</f>
        <v>-801333.959368256</v>
      </c>
      <c r="C37" s="113" t="n">
        <f aca="false">'Multi-Year Projections'!C53</f>
        <v>107547.388275</v>
      </c>
      <c r="D37" s="113" t="n">
        <f aca="false">'Multi-Year Projections'!D53</f>
        <v>873045.34948675</v>
      </c>
      <c r="E37" s="113" t="n">
        <f aca="false">'Multi-Year Projections'!E53</f>
        <v>2220976.91597908</v>
      </c>
      <c r="F37" s="113" t="n">
        <f aca="false">'Multi-Year Projections'!F53</f>
        <v>4208378.23162407</v>
      </c>
    </row>
    <row r="38" customFormat="false" ht="15.75" hidden="false" customHeight="false" outlineLevel="0" collapsed="false">
      <c r="A38" s="49" t="s">
        <v>640</v>
      </c>
      <c r="B38" s="91" t="n">
        <f aca="false">'Multi-Year Projections'!B48</f>
        <v>-5.02137235143171</v>
      </c>
      <c r="C38" s="91" t="n">
        <f aca="false">'Multi-Year Projections'!C48</f>
        <v>0.122157321708006</v>
      </c>
      <c r="D38" s="91" t="n">
        <f aca="false">'Multi-Year Projections'!D48</f>
        <v>0.411925988114565</v>
      </c>
      <c r="E38" s="91" t="n">
        <f aca="false">'Multi-Year Projections'!E48</f>
        <v>0.559867359533653</v>
      </c>
      <c r="F38" s="91" t="n">
        <f aca="false">'Multi-Year Projections'!F48</f>
        <v>0.646105041019143</v>
      </c>
    </row>
    <row r="39" customFormat="false" ht="15.75" hidden="false" customHeight="false" outlineLevel="0" collapsed="false">
      <c r="A39" s="99" t="s">
        <v>1009</v>
      </c>
      <c r="B39" s="145" t="n">
        <f aca="false">'Multi-Year Projections'!B55</f>
        <v>-801333.959368256</v>
      </c>
      <c r="C39" s="145" t="n">
        <f aca="false">'Multi-Year Projections'!C55</f>
        <v>-693786.571093256</v>
      </c>
      <c r="D39" s="145" t="n">
        <f aca="false">'Multi-Year Projections'!D55</f>
        <v>179258.778393494</v>
      </c>
      <c r="E39" s="145" t="n">
        <f aca="false">'Multi-Year Projections'!E55</f>
        <v>2400235.69437257</v>
      </c>
      <c r="F39" s="145" t="n">
        <f aca="false">'Multi-Year Projections'!F55</f>
        <v>6608613.92599664</v>
      </c>
    </row>
    <row r="41" customFormat="false" ht="18" hidden="false" customHeight="true" outlineLevel="0" collapsed="false">
      <c r="A41" s="135" t="s">
        <v>1010</v>
      </c>
      <c r="B41" s="46"/>
      <c r="C41" s="46"/>
      <c r="D41" s="46"/>
      <c r="E41" s="46"/>
      <c r="F41" s="46"/>
      <c r="G41" s="46"/>
      <c r="H41" s="46"/>
    </row>
    <row r="42" customFormat="false" ht="15.75" hidden="false" customHeight="false" outlineLevel="0" collapsed="false">
      <c r="A42" s="66" t="s">
        <v>161</v>
      </c>
      <c r="B42" s="67" t="s">
        <v>255</v>
      </c>
      <c r="C42" s="67" t="s">
        <v>711</v>
      </c>
      <c r="D42" s="67" t="s">
        <v>1011</v>
      </c>
      <c r="F42" s="67" t="s">
        <v>161</v>
      </c>
      <c r="G42" s="67" t="s">
        <v>255</v>
      </c>
    </row>
    <row r="43" customFormat="false" ht="15.75" hidden="false" customHeight="false" outlineLevel="0" collapsed="false">
      <c r="A43" s="49" t="s">
        <v>1012</v>
      </c>
      <c r="B43" s="146" t="n">
        <f aca="false">'Unit Economics'!B45</f>
        <v>627.5863638</v>
      </c>
      <c r="C43" s="51" t="s">
        <v>1013</v>
      </c>
      <c r="D43" s="51" t="s">
        <v>1014</v>
      </c>
      <c r="F43" s="49" t="s">
        <v>1015</v>
      </c>
      <c r="G43" s="74" t="str">
        <f aca="false">'Multi-Year Projections'!B62</f>
        <v>Year 2</v>
      </c>
    </row>
    <row r="44" customFormat="false" ht="15.75" hidden="false" customHeight="false" outlineLevel="0" collapsed="false">
      <c r="A44" s="49" t="s">
        <v>1016</v>
      </c>
      <c r="B44" s="70" t="n">
        <f aca="false">'Unit Economics'!B51</f>
        <v>30</v>
      </c>
      <c r="C44" s="51" t="s">
        <v>1017</v>
      </c>
      <c r="D44" s="51" t="s">
        <v>1018</v>
      </c>
      <c r="F44" s="49" t="s">
        <v>1019</v>
      </c>
      <c r="G44" s="74" t="str">
        <f aca="false">'Multi-Year Projections'!B63</f>
        <v>Year 3</v>
      </c>
    </row>
    <row r="45" customFormat="false" ht="15.75" hidden="false" customHeight="false" outlineLevel="0" collapsed="false">
      <c r="A45" s="49" t="s">
        <v>704</v>
      </c>
      <c r="B45" s="147" t="n">
        <f aca="false">'Unit Economics'!B54</f>
        <v>13.94636364</v>
      </c>
      <c r="C45" s="51" t="s">
        <v>1020</v>
      </c>
      <c r="D45" s="51" t="s">
        <v>1014</v>
      </c>
      <c r="F45" s="49" t="s">
        <v>1021</v>
      </c>
      <c r="G45" s="91" t="n">
        <f aca="false">'Multi-Year Projections'!B68</f>
        <v>1.53938427711959</v>
      </c>
    </row>
    <row r="46" customFormat="false" ht="15.75" hidden="false" customHeight="false" outlineLevel="0" collapsed="false">
      <c r="A46" s="49" t="s">
        <v>1022</v>
      </c>
      <c r="B46" s="148" t="n">
        <f aca="false">'Unit Economics'!B55</f>
        <v>2.54793298936238</v>
      </c>
      <c r="C46" s="51" t="s">
        <v>1023</v>
      </c>
      <c r="D46" s="51" t="s">
        <v>1014</v>
      </c>
      <c r="F46" s="49" t="s">
        <v>1024</v>
      </c>
      <c r="G46" s="70" t="n">
        <f aca="false">'Multi-Year Projections'!B67</f>
        <v>6608613.92599664</v>
      </c>
    </row>
    <row r="47" customFormat="false" ht="15.75" hidden="false" customHeight="false" outlineLevel="0" collapsed="false">
      <c r="A47" s="49" t="s">
        <v>1025</v>
      </c>
      <c r="B47" s="146" t="n">
        <f aca="false">'Unit Economics'!E33</f>
        <v>17.661375</v>
      </c>
      <c r="C47" s="51" t="s">
        <v>1026</v>
      </c>
      <c r="D47" s="51" t="s">
        <v>1018</v>
      </c>
      <c r="F47" s="49" t="s">
        <v>1027</v>
      </c>
      <c r="G47" s="70" t="n">
        <f aca="false">Assumptions!B109</f>
        <v>240000</v>
      </c>
    </row>
    <row r="49" customFormat="false" ht="18" hidden="false" customHeight="true" outlineLevel="0" collapsed="false">
      <c r="A49" s="135" t="s">
        <v>1028</v>
      </c>
      <c r="B49" s="46"/>
      <c r="C49" s="46"/>
      <c r="D49" s="46"/>
      <c r="E49" s="46"/>
      <c r="F49" s="46"/>
      <c r="G49" s="46"/>
      <c r="H49" s="46"/>
    </row>
    <row r="50" customFormat="false" ht="15.75" hidden="false" customHeight="false" outlineLevel="0" collapsed="false">
      <c r="A50" s="66" t="s">
        <v>4</v>
      </c>
      <c r="B50" s="67" t="s">
        <v>446</v>
      </c>
      <c r="C50" s="67" t="s">
        <v>447</v>
      </c>
      <c r="D50" s="67" t="s">
        <v>165</v>
      </c>
    </row>
    <row r="51" customFormat="false" ht="15.75" hidden="false" customHeight="false" outlineLevel="0" collapsed="false">
      <c r="A51" s="49" t="s">
        <v>744</v>
      </c>
      <c r="B51" s="70" t="n">
        <f aca="false">Assumptions!B109</f>
        <v>240000</v>
      </c>
      <c r="C51" s="149" t="n">
        <f aca="false">B51*Assumptions!$B$15</f>
        <v>338400</v>
      </c>
      <c r="D51" s="49" t="s">
        <v>1029</v>
      </c>
    </row>
    <row r="52" customFormat="false" ht="15.75" hidden="false" customHeight="false" outlineLevel="0" collapsed="false">
      <c r="A52" s="49" t="s">
        <v>1030</v>
      </c>
      <c r="B52" s="113" t="n">
        <f aca="false">'Multi-Year Projections'!B53</f>
        <v>-801333.959368256</v>
      </c>
      <c r="C52" s="150" t="n">
        <f aca="false">B52*Assumptions!$B$15</f>
        <v>-1129880.88270924</v>
      </c>
      <c r="D52" s="49" t="s">
        <v>1031</v>
      </c>
    </row>
    <row r="53" customFormat="false" ht="15.75" hidden="false" customHeight="false" outlineLevel="0" collapsed="false">
      <c r="A53" s="99" t="s">
        <v>1032</v>
      </c>
      <c r="B53" s="63" t="n">
        <f aca="false">ROUND(ABS(B52)*1.3,-3)</f>
        <v>1042000</v>
      </c>
      <c r="C53" s="100" t="n">
        <f aca="false">B53*Assumptions!$B$15</f>
        <v>1469220</v>
      </c>
      <c r="D53" s="99" t="s">
        <v>1033</v>
      </c>
    </row>
    <row r="55" customFormat="false" ht="18" hidden="false" customHeight="true" outlineLevel="0" collapsed="false">
      <c r="A55" s="151" t="s">
        <v>1034</v>
      </c>
      <c r="B55" s="132"/>
      <c r="C55" s="132"/>
      <c r="D55" s="132"/>
      <c r="E55" s="132"/>
      <c r="F55" s="132"/>
      <c r="G55" s="132"/>
      <c r="H55" s="132"/>
    </row>
    <row r="56" customFormat="false" ht="15.75" hidden="false" customHeight="false" outlineLevel="0" collapsed="false">
      <c r="A56" s="66" t="s">
        <v>1035</v>
      </c>
      <c r="B56" s="67" t="s">
        <v>1036</v>
      </c>
      <c r="C56" s="66" t="s">
        <v>1037</v>
      </c>
    </row>
    <row r="57" customFormat="false" ht="15.75" hidden="false" customHeight="false" outlineLevel="0" collapsed="false">
      <c r="A57" s="49" t="s">
        <v>1038</v>
      </c>
      <c r="B57" s="110" t="s">
        <v>947</v>
      </c>
      <c r="C57" s="49" t="s">
        <v>1039</v>
      </c>
    </row>
    <row r="58" customFormat="false" ht="15.75" hidden="false" customHeight="false" outlineLevel="0" collapsed="false">
      <c r="A58" s="49" t="s">
        <v>1040</v>
      </c>
      <c r="B58" s="109" t="s">
        <v>953</v>
      </c>
      <c r="C58" s="49" t="s">
        <v>1041</v>
      </c>
    </row>
    <row r="59" customFormat="false" ht="15.75" hidden="false" customHeight="false" outlineLevel="0" collapsed="false">
      <c r="A59" s="49" t="s">
        <v>1042</v>
      </c>
      <c r="B59" s="109" t="s">
        <v>953</v>
      </c>
      <c r="C59" s="49" t="s">
        <v>1043</v>
      </c>
    </row>
    <row r="60" customFormat="false" ht="15.75" hidden="false" customHeight="false" outlineLevel="0" collapsed="false">
      <c r="A60" s="49" t="s">
        <v>1044</v>
      </c>
      <c r="B60" s="74" t="s">
        <v>1045</v>
      </c>
      <c r="C60" s="49" t="s">
        <v>1046</v>
      </c>
    </row>
    <row r="61" customFormat="false" ht="15.75" hidden="false" customHeight="false" outlineLevel="0" collapsed="false">
      <c r="A61" s="49" t="s">
        <v>1047</v>
      </c>
      <c r="B61" s="74" t="s">
        <v>1045</v>
      </c>
      <c r="C61" s="49" t="s">
        <v>1048</v>
      </c>
    </row>
    <row r="63" customFormat="false" ht="18" hidden="false" customHeight="true" outlineLevel="0" collapsed="false">
      <c r="A63" s="97" t="s">
        <v>1049</v>
      </c>
      <c r="B63" s="44"/>
      <c r="C63" s="44"/>
      <c r="D63" s="44"/>
      <c r="E63" s="44"/>
      <c r="F63" s="44"/>
      <c r="G63" s="44"/>
      <c r="H63" s="44"/>
    </row>
    <row r="65" customFormat="false" ht="15.75" hidden="false" customHeight="false" outlineLevel="0" collapsed="false">
      <c r="A65" s="49" t="s">
        <v>1050</v>
      </c>
    </row>
    <row r="66" customFormat="false" ht="15.75" hidden="false" customHeight="false" outlineLevel="0" collapsed="false">
      <c r="A66" s="49" t="s">
        <v>1051</v>
      </c>
    </row>
    <row r="67" customFormat="false" ht="15.75" hidden="false" customHeight="false" outlineLevel="0" collapsed="false">
      <c r="A67" s="49" t="s">
        <v>1052</v>
      </c>
    </row>
    <row r="68" customFormat="false" ht="15.75" hidden="false" customHeight="false" outlineLevel="0" collapsed="false">
      <c r="A68" s="49" t="s">
        <v>1053</v>
      </c>
    </row>
    <row r="69" customFormat="false" ht="15.75" hidden="false" customHeight="false" outlineLevel="0" collapsed="false">
      <c r="A69" s="49" t="s">
        <v>1054</v>
      </c>
    </row>
    <row r="70" customFormat="false" ht="15.75" hidden="false" customHeight="false" outlineLevel="0" collapsed="false">
      <c r="A70" s="49" t="s">
        <v>1055</v>
      </c>
    </row>
    <row r="72" customFormat="false" ht="15.75" hidden="false" customHeight="false" outlineLevel="0" collapsed="false">
      <c r="A72" s="102" t="s">
        <v>1056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12" colorId="64" zoomScale="161" zoomScaleNormal="161" zoomScalePageLayoutView="100" workbookViewId="0">
      <selection pane="topLeft" activeCell="F14" activeCellId="0" sqref="F14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28.83"/>
    <col collapsed="false" customWidth="true" hidden="false" outlineLevel="0" max="7" min="5" style="0" width="20"/>
  </cols>
  <sheetData>
    <row r="1" customFormat="false" ht="39.75" hidden="false" customHeight="true" outlineLevel="0" collapsed="false">
      <c r="A1" s="152" t="s">
        <v>1057</v>
      </c>
      <c r="B1" s="152"/>
      <c r="C1" s="152"/>
      <c r="D1" s="152"/>
      <c r="E1" s="152"/>
      <c r="F1" s="152"/>
      <c r="G1" s="152"/>
    </row>
    <row r="2" customFormat="false" ht="15.75" hidden="false" customHeight="false" outlineLevel="0" collapsed="false">
      <c r="A2" s="153" t="s">
        <v>1058</v>
      </c>
      <c r="B2" s="153"/>
      <c r="C2" s="153"/>
      <c r="D2" s="153"/>
      <c r="E2" s="153"/>
      <c r="F2" s="153"/>
      <c r="G2" s="153"/>
    </row>
    <row r="4" customFormat="false" ht="18" hidden="false" customHeight="true" outlineLevel="0" collapsed="false">
      <c r="A4" s="154" t="s">
        <v>1059</v>
      </c>
      <c r="B4" s="154"/>
      <c r="C4" s="154"/>
      <c r="D4" s="154"/>
      <c r="E4" s="154"/>
      <c r="F4" s="154"/>
      <c r="G4" s="154"/>
    </row>
    <row r="5" customFormat="false" ht="15.75" hidden="false" customHeight="false" outlineLevel="0" collapsed="false">
      <c r="A5" s="155" t="s">
        <v>1060</v>
      </c>
      <c r="B5" s="155" t="s">
        <v>1061</v>
      </c>
      <c r="C5" s="155" t="s">
        <v>1062</v>
      </c>
      <c r="D5" s="155" t="s">
        <v>943</v>
      </c>
      <c r="E5" s="155" t="s">
        <v>1063</v>
      </c>
      <c r="F5" s="155" t="s">
        <v>1064</v>
      </c>
      <c r="G5" s="155" t="s">
        <v>1065</v>
      </c>
    </row>
    <row r="6" customFormat="false" ht="15.75" hidden="false" customHeight="false" outlineLevel="0" collapsed="false">
      <c r="A6" s="156" t="s">
        <v>1066</v>
      </c>
      <c r="B6" s="157" t="s">
        <v>1067</v>
      </c>
      <c r="C6" s="157" t="s">
        <v>1068</v>
      </c>
      <c r="D6" s="157" t="s">
        <v>1069</v>
      </c>
      <c r="E6" s="158" t="n">
        <v>500</v>
      </c>
      <c r="F6" s="159" t="s">
        <v>1070</v>
      </c>
      <c r="G6" s="160" t="s">
        <v>1071</v>
      </c>
    </row>
    <row r="7" customFormat="false" ht="15.75" hidden="false" customHeight="false" outlineLevel="0" collapsed="false">
      <c r="A7" s="156" t="s">
        <v>1072</v>
      </c>
      <c r="B7" s="157" t="s">
        <v>1073</v>
      </c>
      <c r="C7" s="157" t="s">
        <v>1074</v>
      </c>
      <c r="D7" s="157" t="s">
        <v>1075</v>
      </c>
      <c r="E7" s="158" t="n">
        <v>400</v>
      </c>
      <c r="F7" s="159" t="s">
        <v>1069</v>
      </c>
      <c r="G7" s="160" t="s">
        <v>1071</v>
      </c>
    </row>
    <row r="8" customFormat="false" ht="15.75" hidden="false" customHeight="false" outlineLevel="0" collapsed="false">
      <c r="A8" s="156" t="s">
        <v>1076</v>
      </c>
      <c r="B8" s="157" t="s">
        <v>1077</v>
      </c>
      <c r="C8" s="157" t="s">
        <v>1078</v>
      </c>
      <c r="D8" s="157" t="s">
        <v>1079</v>
      </c>
      <c r="E8" s="158" t="n">
        <v>300</v>
      </c>
      <c r="F8" s="159" t="s">
        <v>1080</v>
      </c>
      <c r="G8" s="161" t="s">
        <v>1081</v>
      </c>
    </row>
    <row r="9" customFormat="false" ht="15.75" hidden="false" customHeight="false" outlineLevel="0" collapsed="false">
      <c r="F9" s="159" t="s">
        <v>1079</v>
      </c>
    </row>
    <row r="10" customFormat="false" ht="15.75" hidden="false" customHeight="false" outlineLevel="0" collapsed="false">
      <c r="A10" s="162" t="s">
        <v>1082</v>
      </c>
      <c r="B10" s="163" t="s">
        <v>1083</v>
      </c>
      <c r="C10" s="163" t="s">
        <v>1084</v>
      </c>
      <c r="D10" s="163" t="s">
        <v>1085</v>
      </c>
      <c r="E10" s="164" t="n">
        <v>2000</v>
      </c>
      <c r="F10" s="165" t="s">
        <v>1085</v>
      </c>
      <c r="G10" s="166" t="s">
        <v>1071</v>
      </c>
    </row>
    <row r="11" customFormat="false" ht="15.75" hidden="false" customHeight="false" outlineLevel="0" collapsed="false">
      <c r="A11" s="162" t="s">
        <v>1086</v>
      </c>
      <c r="B11" s="163" t="s">
        <v>1087</v>
      </c>
      <c r="C11" s="163" t="s">
        <v>1088</v>
      </c>
      <c r="D11" s="163" t="s">
        <v>1089</v>
      </c>
      <c r="E11" s="164" t="n">
        <v>3000</v>
      </c>
      <c r="F11" s="165" t="s">
        <v>1089</v>
      </c>
      <c r="G11" s="166" t="s">
        <v>1071</v>
      </c>
    </row>
    <row r="12" customFormat="false" ht="15.75" hidden="false" customHeight="false" outlineLevel="0" collapsed="false">
      <c r="A12" s="167" t="s">
        <v>1090</v>
      </c>
      <c r="B12" s="163" t="s">
        <v>1091</v>
      </c>
      <c r="C12" s="163" t="s">
        <v>1092</v>
      </c>
      <c r="D12" s="163" t="s">
        <v>1093</v>
      </c>
      <c r="E12" s="164" t="n">
        <v>300</v>
      </c>
      <c r="F12" s="168" t="s">
        <v>1094</v>
      </c>
      <c r="G12" s="169" t="s">
        <v>1081</v>
      </c>
    </row>
    <row r="13" customFormat="false" ht="15.75" hidden="false" customHeight="false" outlineLevel="0" collapsed="false">
      <c r="F13" s="0" t="s">
        <v>1095</v>
      </c>
    </row>
    <row r="14" customFormat="false" ht="15.75" hidden="false" customHeight="false" outlineLevel="0" collapsed="false">
      <c r="A14" s="170" t="s">
        <v>1096</v>
      </c>
      <c r="B14" s="171" t="s">
        <v>1097</v>
      </c>
      <c r="C14" s="171" t="s">
        <v>1098</v>
      </c>
      <c r="D14" s="171" t="s">
        <v>1099</v>
      </c>
      <c r="E14" s="172" t="n">
        <v>500</v>
      </c>
      <c r="F14" s="173" t="s">
        <v>1100</v>
      </c>
      <c r="G14" s="174" t="s">
        <v>1101</v>
      </c>
    </row>
    <row r="15" customFormat="false" ht="15.75" hidden="false" customHeight="false" outlineLevel="0" collapsed="false">
      <c r="A15" s="170" t="s">
        <v>1096</v>
      </c>
      <c r="B15" s="171" t="s">
        <v>1097</v>
      </c>
      <c r="C15" s="171" t="s">
        <v>1102</v>
      </c>
      <c r="D15" s="171" t="s">
        <v>1099</v>
      </c>
      <c r="E15" s="172" t="n">
        <v>500</v>
      </c>
      <c r="F15" s="173" t="s">
        <v>1103</v>
      </c>
      <c r="G15" s="175" t="s">
        <v>1104</v>
      </c>
    </row>
    <row r="16" customFormat="false" ht="15.75" hidden="false" customHeight="false" outlineLevel="0" collapsed="false">
      <c r="A16" s="170" t="s">
        <v>1105</v>
      </c>
      <c r="B16" s="171" t="s">
        <v>1106</v>
      </c>
      <c r="C16" s="171" t="s">
        <v>1107</v>
      </c>
      <c r="D16" s="171" t="s">
        <v>1099</v>
      </c>
      <c r="E16" s="172" t="n">
        <v>400</v>
      </c>
      <c r="F16" s="173" t="s">
        <v>1103</v>
      </c>
      <c r="G16" s="175" t="s">
        <v>1104</v>
      </c>
    </row>
    <row r="18" customFormat="false" ht="15.75" hidden="false" customHeight="false" outlineLevel="0" collapsed="false">
      <c r="A18" s="176" t="s">
        <v>1108</v>
      </c>
      <c r="B18" s="176"/>
      <c r="C18" s="176"/>
      <c r="D18" s="176"/>
      <c r="E18" s="176"/>
      <c r="F18" s="176"/>
      <c r="G18" s="176"/>
    </row>
    <row r="20" customFormat="false" ht="15.75" hidden="false" customHeight="false" outlineLevel="0" collapsed="false">
      <c r="A20" s="177" t="s">
        <v>1109</v>
      </c>
      <c r="B20" s="177"/>
      <c r="C20" s="177"/>
      <c r="D20" s="177"/>
      <c r="E20" s="177"/>
      <c r="F20" s="177"/>
      <c r="G20" s="177"/>
    </row>
    <row r="21" customFormat="false" ht="15.75" hidden="false" customHeight="false" outlineLevel="0" collapsed="false">
      <c r="A21" s="177" t="s">
        <v>1110</v>
      </c>
      <c r="B21" s="177"/>
      <c r="C21" s="177"/>
      <c r="D21" s="177"/>
      <c r="E21" s="177"/>
      <c r="F21" s="177"/>
      <c r="G21" s="177"/>
    </row>
    <row r="22" customFormat="false" ht="15.75" hidden="false" customHeight="false" outlineLevel="0" collapsed="false">
      <c r="A22" s="178"/>
    </row>
    <row r="23" customFormat="false" ht="27.75" hidden="false" customHeight="true" outlineLevel="0" collapsed="false">
      <c r="A23" s="179" t="s">
        <v>1111</v>
      </c>
      <c r="B23" s="179"/>
      <c r="C23" s="179"/>
      <c r="D23" s="179"/>
      <c r="E23" s="179"/>
      <c r="F23" s="179"/>
      <c r="G23" s="179"/>
    </row>
    <row r="24" customFormat="false" ht="27.75" hidden="false" customHeight="true" outlineLevel="0" collapsed="false">
      <c r="A24" s="153" t="s">
        <v>1112</v>
      </c>
      <c r="B24" s="153"/>
      <c r="C24" s="153"/>
      <c r="D24" s="153"/>
      <c r="E24" s="153"/>
      <c r="F24" s="153"/>
      <c r="G24" s="153"/>
    </row>
    <row r="25" customFormat="false" ht="27.75" hidden="false" customHeight="true" outlineLevel="0" collapsed="false"/>
    <row r="26" customFormat="false" ht="15.75" hidden="false" customHeight="false" outlineLevel="0" collapsed="false">
      <c r="A26" s="180" t="s">
        <v>1113</v>
      </c>
      <c r="B26" s="180"/>
      <c r="C26" s="180" t="s">
        <v>1114</v>
      </c>
      <c r="D26" s="180"/>
    </row>
    <row r="27" customFormat="false" ht="15.75" hidden="false" customHeight="false" outlineLevel="0" collapsed="false">
      <c r="A27" s="181" t="s">
        <v>1061</v>
      </c>
      <c r="B27" s="182" t="s">
        <v>1115</v>
      </c>
      <c r="C27" s="181" t="s">
        <v>1116</v>
      </c>
      <c r="D27" s="183" t="s">
        <v>1117</v>
      </c>
    </row>
    <row r="28" customFormat="false" ht="15.75" hidden="false" customHeight="false" outlineLevel="0" collapsed="false">
      <c r="A28" s="184" t="s">
        <v>1118</v>
      </c>
      <c r="B28" s="185" t="s">
        <v>1119</v>
      </c>
      <c r="C28" s="184" t="s">
        <v>1120</v>
      </c>
      <c r="D28" s="186" t="s">
        <v>1121</v>
      </c>
    </row>
    <row r="29" customFormat="false" ht="15.75" hidden="false" customHeight="false" outlineLevel="0" collapsed="false">
      <c r="A29" s="181" t="s">
        <v>1122</v>
      </c>
      <c r="B29" s="182" t="s">
        <v>1123</v>
      </c>
      <c r="C29" s="181" t="s">
        <v>1124</v>
      </c>
      <c r="D29" s="187" t="s">
        <v>1125</v>
      </c>
    </row>
    <row r="30" customFormat="false" ht="15.75" hidden="false" customHeight="false" outlineLevel="0" collapsed="false">
      <c r="A30" s="184" t="s">
        <v>1126</v>
      </c>
      <c r="B30" s="185" t="s">
        <v>1127</v>
      </c>
      <c r="C30" s="184" t="s">
        <v>1128</v>
      </c>
      <c r="D30" s="188" t="s">
        <v>1129</v>
      </c>
    </row>
    <row r="31" customFormat="false" ht="15.75" hidden="false" customHeight="false" outlineLevel="0" collapsed="false">
      <c r="A31" s="181" t="s">
        <v>1130</v>
      </c>
      <c r="B31" s="182" t="s">
        <v>1131</v>
      </c>
      <c r="C31" s="181" t="s">
        <v>1132</v>
      </c>
      <c r="D31" s="183" t="s">
        <v>1133</v>
      </c>
    </row>
    <row r="32" customFormat="false" ht="15.75" hidden="false" customHeight="false" outlineLevel="0" collapsed="false">
      <c r="A32" s="184" t="s">
        <v>1134</v>
      </c>
      <c r="B32" s="185" t="s">
        <v>1135</v>
      </c>
      <c r="C32" s="184" t="s">
        <v>1136</v>
      </c>
      <c r="D32" s="189" t="s">
        <v>1137</v>
      </c>
    </row>
    <row r="33" customFormat="false" ht="15.75" hidden="false" customHeight="false" outlineLevel="0" collapsed="false">
      <c r="A33" s="181" t="s">
        <v>1138</v>
      </c>
      <c r="B33" s="182" t="s">
        <v>1139</v>
      </c>
      <c r="C33" s="181" t="s">
        <v>1140</v>
      </c>
      <c r="D33" s="190" t="s">
        <v>1141</v>
      </c>
    </row>
    <row r="36" customFormat="false" ht="15.75" hidden="false" customHeight="false" outlineLevel="0" collapsed="false">
      <c r="A36" s="191" t="s">
        <v>1142</v>
      </c>
      <c r="B36" s="191"/>
      <c r="C36" s="191"/>
      <c r="D36" s="191"/>
      <c r="E36" s="191"/>
      <c r="F36" s="191"/>
      <c r="G36" s="191"/>
    </row>
    <row r="37" customFormat="false" ht="15.75" hidden="false" customHeight="false" outlineLevel="0" collapsed="false">
      <c r="A37" s="192"/>
      <c r="B37" s="193" t="s">
        <v>1143</v>
      </c>
      <c r="C37" s="193" t="s">
        <v>1144</v>
      </c>
      <c r="D37" s="193" t="s">
        <v>1145</v>
      </c>
      <c r="E37" s="193" t="s">
        <v>1146</v>
      </c>
      <c r="F37" s="194" t="s">
        <v>145</v>
      </c>
      <c r="G37" s="194" t="s">
        <v>1147</v>
      </c>
    </row>
    <row r="38" customFormat="false" ht="15.75" hidden="false" customHeight="false" outlineLevel="0" collapsed="false">
      <c r="A38" s="195" t="s">
        <v>1148</v>
      </c>
      <c r="B38" s="195"/>
      <c r="C38" s="195"/>
      <c r="D38" s="195"/>
      <c r="E38" s="195"/>
      <c r="F38" s="195"/>
      <c r="G38" s="195"/>
    </row>
    <row r="39" customFormat="false" ht="15.75" hidden="false" customHeight="false" outlineLevel="0" collapsed="false">
      <c r="A39" s="196" t="s">
        <v>1149</v>
      </c>
      <c r="B39" s="197" t="n">
        <v>600</v>
      </c>
      <c r="C39" s="197" t="n">
        <v>900</v>
      </c>
      <c r="D39" s="197" t="n">
        <v>1200</v>
      </c>
      <c r="E39" s="197" t="n">
        <v>1400</v>
      </c>
      <c r="F39" s="198" t="n">
        <v>4100</v>
      </c>
      <c r="G39" s="198" t="n">
        <v>6000</v>
      </c>
    </row>
    <row r="40" customFormat="false" ht="15.75" hidden="false" customHeight="false" outlineLevel="0" collapsed="false">
      <c r="A40" s="199" t="s">
        <v>1150</v>
      </c>
      <c r="B40" s="200" t="n">
        <v>-60</v>
      </c>
      <c r="C40" s="200" t="n">
        <v>-120</v>
      </c>
      <c r="D40" s="200" t="n">
        <v>-190</v>
      </c>
      <c r="E40" s="200" t="n">
        <v>-280</v>
      </c>
      <c r="F40" s="201" t="n">
        <v>-650</v>
      </c>
      <c r="G40" s="201" t="n">
        <v>-1100</v>
      </c>
    </row>
    <row r="41" customFormat="false" ht="15.75" hidden="false" customHeight="false" outlineLevel="0" collapsed="false">
      <c r="A41" s="202" t="s">
        <v>1151</v>
      </c>
      <c r="B41" s="203" t="n">
        <v>540</v>
      </c>
      <c r="C41" s="203" t="n">
        <v>1320</v>
      </c>
      <c r="D41" s="203" t="n">
        <v>2330</v>
      </c>
      <c r="E41" s="203" t="n">
        <v>3450</v>
      </c>
      <c r="F41" s="198" t="n">
        <v>3450</v>
      </c>
      <c r="G41" s="198" t="n">
        <v>8350</v>
      </c>
    </row>
    <row r="42" customFormat="false" ht="15.75" hidden="false" customHeight="false" outlineLevel="0" collapsed="false">
      <c r="A42" s="178"/>
    </row>
    <row r="43" customFormat="false" ht="15.75" hidden="false" customHeight="false" outlineLevel="0" collapsed="false">
      <c r="A43" s="204" t="s">
        <v>1152</v>
      </c>
      <c r="B43" s="204"/>
      <c r="C43" s="204"/>
      <c r="D43" s="204"/>
      <c r="E43" s="204"/>
      <c r="F43" s="204"/>
      <c r="G43" s="204"/>
    </row>
    <row r="44" customFormat="false" ht="15.75" hidden="false" customHeight="false" outlineLevel="0" collapsed="false">
      <c r="A44" s="196" t="s">
        <v>674</v>
      </c>
      <c r="B44" s="205" t="n">
        <v>32400</v>
      </c>
      <c r="C44" s="205" t="n">
        <v>95040</v>
      </c>
      <c r="D44" s="205" t="n">
        <v>181650</v>
      </c>
      <c r="E44" s="205" t="n">
        <v>276000</v>
      </c>
      <c r="F44" s="206" t="n">
        <v>585090</v>
      </c>
      <c r="G44" s="206" t="n">
        <v>1002000</v>
      </c>
    </row>
    <row r="45" customFormat="false" ht="15.75" hidden="false" customHeight="false" outlineLevel="0" collapsed="false">
      <c r="A45" s="196" t="s">
        <v>1153</v>
      </c>
      <c r="B45" s="207" t="n">
        <v>0</v>
      </c>
      <c r="C45" s="205" t="n">
        <v>3000</v>
      </c>
      <c r="D45" s="205" t="n">
        <v>8000</v>
      </c>
      <c r="E45" s="205" t="n">
        <v>15000</v>
      </c>
      <c r="F45" s="206" t="n">
        <v>26000</v>
      </c>
      <c r="G45" s="206" t="n">
        <v>65000</v>
      </c>
    </row>
    <row r="46" customFormat="false" ht="15.75" hidden="false" customHeight="false" outlineLevel="0" collapsed="false">
      <c r="A46" s="208" t="s">
        <v>59</v>
      </c>
      <c r="B46" s="209" t="n">
        <v>32400</v>
      </c>
      <c r="C46" s="209" t="n">
        <v>98040</v>
      </c>
      <c r="D46" s="209" t="n">
        <v>189650</v>
      </c>
      <c r="E46" s="209" t="n">
        <v>291000</v>
      </c>
      <c r="F46" s="206" t="n">
        <v>611090</v>
      </c>
      <c r="G46" s="206" t="n">
        <v>1067000</v>
      </c>
    </row>
    <row r="47" customFormat="false" ht="15.75" hidden="false" customHeight="false" outlineLevel="0" collapsed="false">
      <c r="A47" s="178"/>
    </row>
    <row r="48" customFormat="false" ht="15.75" hidden="false" customHeight="false" outlineLevel="0" collapsed="false">
      <c r="A48" s="210" t="s">
        <v>1154</v>
      </c>
      <c r="B48" s="210"/>
      <c r="C48" s="210"/>
      <c r="D48" s="210"/>
      <c r="E48" s="210"/>
      <c r="F48" s="210"/>
      <c r="G48" s="210"/>
    </row>
    <row r="49" customFormat="false" ht="15.75" hidden="false" customHeight="false" outlineLevel="0" collapsed="false">
      <c r="A49" s="199" t="s">
        <v>1155</v>
      </c>
      <c r="B49" s="211" t="n">
        <v>-60000</v>
      </c>
      <c r="C49" s="207" t="n">
        <v>0</v>
      </c>
      <c r="D49" s="207" t="n">
        <v>0</v>
      </c>
      <c r="E49" s="207" t="n">
        <v>0</v>
      </c>
      <c r="F49" s="212" t="n">
        <v>-60000</v>
      </c>
      <c r="G49" s="213" t="n">
        <v>0</v>
      </c>
    </row>
    <row r="50" customFormat="false" ht="15.75" hidden="false" customHeight="false" outlineLevel="0" collapsed="false">
      <c r="A50" s="199" t="s">
        <v>1156</v>
      </c>
      <c r="B50" s="211" t="n">
        <v>-18000</v>
      </c>
      <c r="C50" s="211" t="n">
        <v>-22000</v>
      </c>
      <c r="D50" s="211" t="n">
        <v>-28000</v>
      </c>
      <c r="E50" s="211" t="n">
        <v>-35000</v>
      </c>
      <c r="F50" s="212" t="n">
        <v>-103000</v>
      </c>
      <c r="G50" s="212" t="n">
        <v>-170000</v>
      </c>
    </row>
    <row r="51" customFormat="false" ht="15.75" hidden="false" customHeight="false" outlineLevel="0" collapsed="false">
      <c r="A51" s="199" t="s">
        <v>1157</v>
      </c>
      <c r="B51" s="211" t="n">
        <v>-35000</v>
      </c>
      <c r="C51" s="211" t="n">
        <v>-30000</v>
      </c>
      <c r="D51" s="211" t="n">
        <v>-28000</v>
      </c>
      <c r="E51" s="211" t="n">
        <v>-25000</v>
      </c>
      <c r="F51" s="212" t="n">
        <v>-118000</v>
      </c>
      <c r="G51" s="212" t="n">
        <v>-85000</v>
      </c>
    </row>
    <row r="52" customFormat="false" ht="15.75" hidden="false" customHeight="false" outlineLevel="0" collapsed="false">
      <c r="A52" s="199" t="s">
        <v>1158</v>
      </c>
      <c r="B52" s="211" t="n">
        <v>-10000</v>
      </c>
      <c r="C52" s="211" t="n">
        <v>-8000</v>
      </c>
      <c r="D52" s="211" t="n">
        <v>-7000</v>
      </c>
      <c r="E52" s="211" t="n">
        <v>-7000</v>
      </c>
      <c r="F52" s="212" t="n">
        <v>-32000</v>
      </c>
      <c r="G52" s="212" t="n">
        <v>-25000</v>
      </c>
    </row>
    <row r="53" customFormat="false" ht="15.75" hidden="false" customHeight="false" outlineLevel="0" collapsed="false">
      <c r="A53" s="214" t="s">
        <v>1159</v>
      </c>
      <c r="B53" s="215" t="n">
        <f aca="false">SUM(B49:B52)</f>
        <v>-123000</v>
      </c>
      <c r="C53" s="215" t="n">
        <f aca="false">SUM(C49:C52)</f>
        <v>-60000</v>
      </c>
      <c r="D53" s="215" t="n">
        <f aca="false">SUM(D49:D52)</f>
        <v>-63000</v>
      </c>
      <c r="E53" s="215" t="n">
        <f aca="false">SUM(E49:E52)</f>
        <v>-67000</v>
      </c>
      <c r="F53" s="212" t="n">
        <f aca="false">SUM(B53:E53)</f>
        <v>-313000</v>
      </c>
      <c r="G53" s="212" t="n">
        <f aca="false">SUM(G49:G52)</f>
        <v>-280000</v>
      </c>
    </row>
    <row r="54" customFormat="false" ht="15.75" hidden="false" customHeight="false" outlineLevel="0" collapsed="false">
      <c r="A54" s="178"/>
      <c r="B54" s="211" t="n">
        <f aca="false">B46+B53</f>
        <v>-90600</v>
      </c>
      <c r="C54" s="211" t="n">
        <f aca="false">C46+C53</f>
        <v>38040</v>
      </c>
      <c r="D54" s="211" t="n">
        <f aca="false">D46+D53</f>
        <v>126650</v>
      </c>
      <c r="E54" s="211" t="n">
        <f aca="false">E46+E53</f>
        <v>224000</v>
      </c>
      <c r="F54" s="212" t="n">
        <f aca="false">F46+F53</f>
        <v>298090</v>
      </c>
      <c r="G54" s="212" t="n">
        <f aca="false">G46+G53</f>
        <v>787000</v>
      </c>
    </row>
    <row r="55" customFormat="false" ht="15.75" hidden="false" customHeight="false" outlineLevel="0" collapsed="false">
      <c r="A55" s="216" t="s">
        <v>916</v>
      </c>
      <c r="B55" s="217" t="n">
        <f aca="false">B54</f>
        <v>-90600</v>
      </c>
      <c r="C55" s="217" t="n">
        <f aca="false">B55+C54</f>
        <v>-52560</v>
      </c>
      <c r="D55" s="217" t="n">
        <f aca="false">C55+D54</f>
        <v>74090</v>
      </c>
      <c r="E55" s="217" t="n">
        <f aca="false">D55+E54</f>
        <v>298090</v>
      </c>
      <c r="F55" s="217" t="n">
        <f aca="false">D55+E54</f>
        <v>298090</v>
      </c>
      <c r="G55" s="217" t="n">
        <f aca="false">E55+G54</f>
        <v>1085090</v>
      </c>
    </row>
    <row r="56" customFormat="false" ht="15.75" hidden="false" customHeight="false" outlineLevel="0" collapsed="false">
      <c r="A56" s="218" t="s">
        <v>1160</v>
      </c>
      <c r="B56" s="219" t="n">
        <f aca="false">B55</f>
        <v>-90600</v>
      </c>
      <c r="C56" s="219" t="n">
        <f aca="false">B56+C55</f>
        <v>-143160</v>
      </c>
      <c r="D56" s="219" t="n">
        <f aca="false">C56+D55</f>
        <v>-69070</v>
      </c>
      <c r="E56" s="219" t="n">
        <f aca="false">D56+E55</f>
        <v>229020</v>
      </c>
      <c r="F56" s="219" t="n">
        <f aca="false">E56</f>
        <v>229020</v>
      </c>
      <c r="G56" s="219" t="n">
        <f aca="false">E56+G55</f>
        <v>1314110</v>
      </c>
      <c r="H56" s="0" t="s">
        <v>1161</v>
      </c>
    </row>
    <row r="57" customFormat="false" ht="15.75" hidden="false" customHeight="false" outlineLevel="0" collapsed="false">
      <c r="A57" s="178"/>
    </row>
    <row r="58" customFormat="false" ht="15.75" hidden="false" customHeight="false" outlineLevel="0" collapsed="false">
      <c r="A58" s="195" t="s">
        <v>1162</v>
      </c>
      <c r="B58" s="195"/>
      <c r="C58" s="195"/>
      <c r="D58" s="195"/>
      <c r="E58" s="195"/>
      <c r="F58" s="195"/>
      <c r="G58" s="195"/>
    </row>
    <row r="59" customFormat="false" ht="15.75" hidden="false" customHeight="false" outlineLevel="0" collapsed="false">
      <c r="A59" s="196" t="s">
        <v>1163</v>
      </c>
      <c r="B59" s="205" t="n">
        <f aca="false">IF(B41&gt;0,B46/B41,0)</f>
        <v>60</v>
      </c>
      <c r="C59" s="205" t="n">
        <f aca="false">IF(C41&gt;0,C46/C41,0)</f>
        <v>74.2727272727273</v>
      </c>
      <c r="D59" s="205" t="n">
        <f aca="false">IF(D41&gt;0,D46/D41,0)</f>
        <v>81.3948497854077</v>
      </c>
      <c r="E59" s="205" t="n">
        <f aca="false">IF(E41&gt;0,E46/E41,0)</f>
        <v>84.3478260869565</v>
      </c>
      <c r="F59" s="220"/>
      <c r="G59" s="220"/>
    </row>
    <row r="60" customFormat="false" ht="15.75" hidden="false" customHeight="false" outlineLevel="0" collapsed="false">
      <c r="A60" s="196" t="s">
        <v>1164</v>
      </c>
      <c r="B60" s="221" t="n">
        <f aca="false">IF(B46&gt;0,B55/B46,0)</f>
        <v>-2.7962962962963</v>
      </c>
      <c r="C60" s="221" t="n">
        <f aca="false">IF(C46&gt;0,C55/C46,0)</f>
        <v>-0.536107711138311</v>
      </c>
      <c r="D60" s="221" t="n">
        <f aca="false">IF(D46&gt;0,D55/D46,0)</f>
        <v>0.390667018191405</v>
      </c>
      <c r="E60" s="221" t="n">
        <f aca="false">IF(E46&gt;0,E55/E46,0)</f>
        <v>1.02436426116839</v>
      </c>
      <c r="F60" s="222" t="n">
        <f aca="false">IF(F46&gt;0,F55/F46,0)</f>
        <v>0.48780048765321</v>
      </c>
      <c r="G60" s="222" t="n">
        <f aca="false">IF(G46&gt;0,G55/G46,0)</f>
        <v>1.01695407685098</v>
      </c>
    </row>
    <row r="62" customFormat="false" ht="27.75" hidden="false" customHeight="true" outlineLevel="0" collapsed="false">
      <c r="A62" s="178"/>
    </row>
    <row r="63" customFormat="false" ht="27.75" hidden="false" customHeight="true" outlineLevel="0" collapsed="false">
      <c r="A63" s="179" t="s">
        <v>1165</v>
      </c>
      <c r="B63" s="179"/>
      <c r="C63" s="179"/>
      <c r="D63" s="179"/>
      <c r="E63" s="179"/>
      <c r="F63" s="179"/>
      <c r="G63" s="179"/>
    </row>
    <row r="64" customFormat="false" ht="27.75" hidden="false" customHeight="true" outlineLevel="0" collapsed="false">
      <c r="A64" s="153" t="s">
        <v>1166</v>
      </c>
      <c r="B64" s="153"/>
      <c r="C64" s="153"/>
      <c r="D64" s="153"/>
      <c r="E64" s="153"/>
      <c r="F64" s="153"/>
      <c r="G64" s="153"/>
    </row>
    <row r="65" customFormat="false" ht="15.75" hidden="false" customHeight="false" outlineLevel="0" collapsed="false">
      <c r="A65" s="180" t="s">
        <v>1113</v>
      </c>
      <c r="B65" s="180"/>
      <c r="C65" s="180" t="s">
        <v>1114</v>
      </c>
      <c r="D65" s="180"/>
    </row>
    <row r="66" customFormat="false" ht="15.75" hidden="false" customHeight="false" outlineLevel="0" collapsed="false">
      <c r="A66" s="223" t="s">
        <v>1061</v>
      </c>
      <c r="B66" s="224" t="s">
        <v>1167</v>
      </c>
      <c r="C66" s="223" t="s">
        <v>1116</v>
      </c>
      <c r="D66" s="225" t="s">
        <v>1168</v>
      </c>
    </row>
    <row r="67" customFormat="false" ht="15.75" hidden="false" customHeight="false" outlineLevel="0" collapsed="false">
      <c r="A67" s="226" t="s">
        <v>1118</v>
      </c>
      <c r="B67" s="227" t="s">
        <v>1169</v>
      </c>
      <c r="C67" s="226" t="s">
        <v>1120</v>
      </c>
      <c r="D67" s="186" t="s">
        <v>1121</v>
      </c>
    </row>
    <row r="68" customFormat="false" ht="15.75" hidden="false" customHeight="false" outlineLevel="0" collapsed="false">
      <c r="A68" s="223" t="s">
        <v>1122</v>
      </c>
      <c r="B68" s="224" t="s">
        <v>1088</v>
      </c>
      <c r="C68" s="223" t="s">
        <v>1124</v>
      </c>
      <c r="D68" s="187" t="s">
        <v>1170</v>
      </c>
    </row>
    <row r="69" customFormat="false" ht="15.75" hidden="false" customHeight="false" outlineLevel="0" collapsed="false">
      <c r="A69" s="226" t="s">
        <v>1126</v>
      </c>
      <c r="B69" s="227" t="s">
        <v>1171</v>
      </c>
      <c r="C69" s="226" t="s">
        <v>1128</v>
      </c>
      <c r="D69" s="188" t="s">
        <v>1172</v>
      </c>
    </row>
    <row r="70" customFormat="false" ht="15.75" hidden="false" customHeight="false" outlineLevel="0" collapsed="false">
      <c r="A70" s="223" t="s">
        <v>1130</v>
      </c>
      <c r="B70" s="224" t="s">
        <v>1173</v>
      </c>
      <c r="C70" s="223" t="s">
        <v>1132</v>
      </c>
      <c r="D70" s="225" t="s">
        <v>1174</v>
      </c>
    </row>
    <row r="71" customFormat="false" ht="15.75" hidden="false" customHeight="false" outlineLevel="0" collapsed="false">
      <c r="A71" s="226" t="s">
        <v>1134</v>
      </c>
      <c r="B71" s="227" t="s">
        <v>1175</v>
      </c>
      <c r="C71" s="226" t="s">
        <v>1136</v>
      </c>
      <c r="D71" s="189" t="s">
        <v>1176</v>
      </c>
    </row>
    <row r="72" customFormat="false" ht="15.75" hidden="false" customHeight="false" outlineLevel="0" collapsed="false">
      <c r="A72" s="223" t="s">
        <v>1138</v>
      </c>
      <c r="B72" s="224" t="n">
        <v>600</v>
      </c>
      <c r="C72" s="223" t="n">
        <v>900</v>
      </c>
      <c r="D72" s="190" t="n">
        <v>1200</v>
      </c>
      <c r="E72" s="0" t="n">
        <v>1500</v>
      </c>
      <c r="F72" s="0" t="n">
        <v>4200</v>
      </c>
      <c r="G72" s="0" t="n">
        <v>6000</v>
      </c>
    </row>
    <row r="73" customFormat="false" ht="15.75" hidden="false" customHeight="false" outlineLevel="0" collapsed="false">
      <c r="A73" s="226" t="s">
        <v>1177</v>
      </c>
      <c r="B73" s="228" t="n">
        <v>-60</v>
      </c>
      <c r="C73" s="226" t="n">
        <v>-130</v>
      </c>
      <c r="D73" s="228" t="n">
        <v>-210</v>
      </c>
      <c r="E73" s="0" t="n">
        <v>-300</v>
      </c>
      <c r="F73" s="0" t="n">
        <v>-700</v>
      </c>
      <c r="G73" s="0" t="n">
        <v>-1200</v>
      </c>
    </row>
    <row r="74" customFormat="false" ht="15.75" hidden="false" customHeight="false" outlineLevel="0" collapsed="false">
      <c r="B74" s="0" t="n">
        <v>540</v>
      </c>
      <c r="C74" s="0" t="n">
        <v>1310</v>
      </c>
      <c r="D74" s="0" t="n">
        <v>2300</v>
      </c>
      <c r="E74" s="0" t="n">
        <v>3500</v>
      </c>
      <c r="F74" s="0" t="n">
        <v>3500</v>
      </c>
      <c r="G74" s="0" t="n">
        <v>8300</v>
      </c>
    </row>
    <row r="75" customFormat="false" ht="15.75" hidden="false" customHeight="false" outlineLevel="0" collapsed="false">
      <c r="A75" s="191" t="s">
        <v>1178</v>
      </c>
      <c r="B75" s="191"/>
      <c r="C75" s="191"/>
      <c r="D75" s="191"/>
      <c r="E75" s="191"/>
      <c r="F75" s="191"/>
      <c r="G75" s="191"/>
    </row>
    <row r="76" customFormat="false" ht="15.75" hidden="false" customHeight="false" outlineLevel="0" collapsed="false">
      <c r="A76" s="192"/>
      <c r="B76" s="193" t="s">
        <v>1143</v>
      </c>
      <c r="C76" s="193" t="s">
        <v>1144</v>
      </c>
      <c r="D76" s="193" t="s">
        <v>1145</v>
      </c>
      <c r="E76" s="193" t="s">
        <v>1146</v>
      </c>
      <c r="F76" s="194" t="s">
        <v>145</v>
      </c>
      <c r="G76" s="194" t="s">
        <v>1147</v>
      </c>
    </row>
    <row r="77" customFormat="false" ht="15.75" hidden="false" customHeight="false" outlineLevel="0" collapsed="false">
      <c r="A77" s="195" t="s">
        <v>1148</v>
      </c>
      <c r="B77" s="195"/>
      <c r="C77" s="195"/>
      <c r="D77" s="195"/>
      <c r="E77" s="195"/>
      <c r="F77" s="195"/>
      <c r="G77" s="195"/>
    </row>
    <row r="78" customFormat="false" ht="15.75" hidden="false" customHeight="false" outlineLevel="0" collapsed="false">
      <c r="A78" s="196" t="s">
        <v>1149</v>
      </c>
      <c r="B78" s="197" t="n">
        <v>24300</v>
      </c>
      <c r="C78" s="197" t="n">
        <v>70650</v>
      </c>
      <c r="D78" s="197" t="n">
        <v>145200</v>
      </c>
      <c r="E78" s="197" t="n">
        <v>252000</v>
      </c>
      <c r="F78" s="198" t="n">
        <v>492150</v>
      </c>
      <c r="G78" s="198" t="n">
        <v>896400</v>
      </c>
    </row>
    <row r="79" customFormat="false" ht="15.75" hidden="false" customHeight="false" outlineLevel="0" collapsed="false">
      <c r="A79" s="199" t="s">
        <v>1150</v>
      </c>
      <c r="B79" s="200" t="n">
        <v>0</v>
      </c>
      <c r="C79" s="200" t="n">
        <v>2000</v>
      </c>
      <c r="D79" s="200" t="n">
        <v>6000</v>
      </c>
      <c r="E79" s="200" t="n">
        <v>12000</v>
      </c>
      <c r="F79" s="201" t="n">
        <v>20000</v>
      </c>
      <c r="G79" s="201" t="n">
        <v>60000</v>
      </c>
    </row>
    <row r="80" customFormat="false" ht="15.75" hidden="false" customHeight="false" outlineLevel="0" collapsed="false">
      <c r="A80" s="202" t="s">
        <v>1151</v>
      </c>
      <c r="B80" s="203" t="n">
        <v>24300</v>
      </c>
      <c r="C80" s="203" t="n">
        <v>72650</v>
      </c>
      <c r="D80" s="203" t="n">
        <v>151200</v>
      </c>
      <c r="E80" s="203" t="n">
        <v>264000</v>
      </c>
      <c r="F80" s="198" t="n">
        <v>512150</v>
      </c>
      <c r="G80" s="198" t="n">
        <v>956400</v>
      </c>
    </row>
    <row r="81" customFormat="false" ht="15.75" hidden="false" customHeight="false" outlineLevel="0" collapsed="false">
      <c r="A81" s="178"/>
    </row>
    <row r="82" customFormat="false" ht="15.75" hidden="false" customHeight="false" outlineLevel="0" collapsed="false">
      <c r="A82" s="204" t="s">
        <v>1152</v>
      </c>
      <c r="B82" s="204"/>
      <c r="C82" s="204"/>
      <c r="D82" s="204"/>
      <c r="E82" s="204"/>
      <c r="F82" s="204"/>
      <c r="G82" s="204"/>
    </row>
    <row r="83" customFormat="false" ht="15.75" hidden="false" customHeight="false" outlineLevel="0" collapsed="false">
      <c r="A83" s="196" t="s">
        <v>674</v>
      </c>
      <c r="B83" s="205" t="n">
        <v>-120000</v>
      </c>
      <c r="C83" s="205" t="n">
        <v>0</v>
      </c>
      <c r="D83" s="205" t="n">
        <v>0</v>
      </c>
      <c r="E83" s="205" t="n">
        <v>0</v>
      </c>
      <c r="F83" s="206" t="n">
        <v>-120000</v>
      </c>
      <c r="G83" s="206" t="n">
        <v>0</v>
      </c>
    </row>
    <row r="84" customFormat="false" ht="15.75" hidden="false" customHeight="false" outlineLevel="0" collapsed="false">
      <c r="A84" s="196" t="s">
        <v>1179</v>
      </c>
      <c r="B84" s="207" t="n">
        <v>-30000</v>
      </c>
      <c r="C84" s="205" t="n">
        <v>-36000</v>
      </c>
      <c r="D84" s="205" t="n">
        <v>-42000</v>
      </c>
      <c r="E84" s="205" t="n">
        <v>-50000</v>
      </c>
      <c r="F84" s="206" t="n">
        <v>-158000</v>
      </c>
      <c r="G84" s="206" t="n">
        <v>-240000</v>
      </c>
    </row>
    <row r="85" customFormat="false" ht="15.75" hidden="false" customHeight="false" outlineLevel="0" collapsed="false">
      <c r="A85" s="208" t="s">
        <v>59</v>
      </c>
      <c r="B85" s="209" t="n">
        <v>-45000</v>
      </c>
      <c r="C85" s="209" t="n">
        <v>-40000</v>
      </c>
      <c r="D85" s="209" t="n">
        <v>-35000</v>
      </c>
      <c r="E85" s="209" t="n">
        <v>-32000</v>
      </c>
      <c r="F85" s="206" t="n">
        <v>-152000</v>
      </c>
      <c r="G85" s="206" t="n">
        <v>-120000</v>
      </c>
    </row>
    <row r="86" customFormat="false" ht="15.75" hidden="false" customHeight="false" outlineLevel="0" collapsed="false">
      <c r="A86" s="178"/>
      <c r="B86" s="0" t="n">
        <v>-18000</v>
      </c>
      <c r="C86" s="0" t="n">
        <v>-14000</v>
      </c>
      <c r="D86" s="0" t="n">
        <v>-11000</v>
      </c>
      <c r="E86" s="0" t="n">
        <v>-10000</v>
      </c>
      <c r="F86" s="206" t="n">
        <v>-53000</v>
      </c>
      <c r="G86" s="206" t="n">
        <v>-40000</v>
      </c>
    </row>
    <row r="87" customFormat="false" ht="15.75" hidden="false" customHeight="false" outlineLevel="0" collapsed="false">
      <c r="A87" s="210" t="s">
        <v>1154</v>
      </c>
      <c r="B87" s="210"/>
      <c r="C87" s="210"/>
      <c r="D87" s="210"/>
      <c r="E87" s="210"/>
      <c r="F87" s="210"/>
      <c r="G87" s="210"/>
    </row>
    <row r="88" customFormat="false" ht="15.75" hidden="false" customHeight="false" outlineLevel="0" collapsed="false">
      <c r="A88" s="199" t="s">
        <v>1180</v>
      </c>
      <c r="B88" s="211" t="n">
        <v>-120000</v>
      </c>
      <c r="C88" s="211" t="n">
        <v>0</v>
      </c>
      <c r="D88" s="211" t="n">
        <v>0</v>
      </c>
      <c r="E88" s="211" t="n">
        <v>0</v>
      </c>
      <c r="F88" s="212" t="n">
        <v>-120000</v>
      </c>
      <c r="G88" s="229" t="n">
        <v>0</v>
      </c>
    </row>
    <row r="89" customFormat="false" ht="15.75" hidden="false" customHeight="false" outlineLevel="0" collapsed="false">
      <c r="A89" s="199" t="s">
        <v>1181</v>
      </c>
      <c r="B89" s="211" t="n">
        <v>-188700</v>
      </c>
      <c r="C89" s="211" t="n">
        <v>-17350</v>
      </c>
      <c r="D89" s="211" t="n">
        <v>63200</v>
      </c>
      <c r="E89" s="211" t="n">
        <v>172000</v>
      </c>
      <c r="F89" s="212" t="n">
        <v>29150</v>
      </c>
      <c r="G89" s="212" t="n">
        <v>556400</v>
      </c>
    </row>
    <row r="90" customFormat="false" ht="15.75" hidden="false" customHeight="false" outlineLevel="0" collapsed="false">
      <c r="A90" s="199" t="s">
        <v>1182</v>
      </c>
      <c r="B90" s="211" t="n">
        <v>-188700</v>
      </c>
      <c r="C90" s="211" t="n">
        <v>-206050</v>
      </c>
      <c r="D90" s="211" t="n">
        <v>-142850</v>
      </c>
      <c r="E90" s="211" t="n">
        <v>29150</v>
      </c>
      <c r="F90" s="212" t="n">
        <v>29150</v>
      </c>
      <c r="G90" s="212" t="n">
        <v>585550</v>
      </c>
    </row>
    <row r="91" customFormat="false" ht="15.75" hidden="false" customHeight="false" outlineLevel="0" collapsed="false">
      <c r="A91" s="199" t="s">
        <v>1183</v>
      </c>
      <c r="B91" s="211" t="n">
        <v>-20000</v>
      </c>
      <c r="C91" s="211" t="n">
        <v>-15000</v>
      </c>
      <c r="D91" s="211" t="n">
        <v>-12000</v>
      </c>
      <c r="E91" s="211" t="n">
        <v>-12000</v>
      </c>
      <c r="F91" s="212" t="n">
        <f aca="false">SUM(B91:E91)</f>
        <v>-59000</v>
      </c>
      <c r="G91" s="212" t="n">
        <v>-48000</v>
      </c>
    </row>
    <row r="92" customFormat="false" ht="15.75" hidden="false" customHeight="false" outlineLevel="0" collapsed="false">
      <c r="A92" s="214" t="s">
        <v>1159</v>
      </c>
      <c r="B92" s="215" t="n">
        <f aca="false">B88+B89+B90+B91</f>
        <v>-517400</v>
      </c>
      <c r="C92" s="215" t="n">
        <f aca="false">C88+C89+C90+C91</f>
        <v>-238400</v>
      </c>
      <c r="D92" s="215" t="n">
        <f aca="false">D88+D89+D90+D91</f>
        <v>-91650</v>
      </c>
      <c r="E92" s="215" t="n">
        <f aca="false">E88+E89+E90+E91</f>
        <v>189150</v>
      </c>
      <c r="F92" s="212" t="n">
        <f aca="false">SUM(B92:E92)</f>
        <v>-658300</v>
      </c>
      <c r="G92" s="212" t="n">
        <f aca="false">G88+G89+G90+G91</f>
        <v>1093950</v>
      </c>
    </row>
    <row r="93" customFormat="false" ht="15.75" hidden="false" customHeight="false" outlineLevel="0" collapsed="false">
      <c r="A93" s="178"/>
    </row>
    <row r="94" customFormat="false" ht="15.75" hidden="false" customHeight="false" outlineLevel="0" collapsed="false">
      <c r="A94" s="216" t="s">
        <v>916</v>
      </c>
      <c r="B94" s="217" t="n">
        <f aca="false">B85+B92</f>
        <v>-562400</v>
      </c>
      <c r="C94" s="217" t="n">
        <f aca="false">C85+C92</f>
        <v>-278400</v>
      </c>
      <c r="D94" s="217" t="n">
        <f aca="false">D85+D92</f>
        <v>-126650</v>
      </c>
      <c r="E94" s="217" t="n">
        <f aca="false">E85+E92</f>
        <v>157150</v>
      </c>
      <c r="F94" s="217" t="n">
        <f aca="false">F85+F92</f>
        <v>-810300</v>
      </c>
      <c r="G94" s="217" t="n">
        <f aca="false">G85+G92</f>
        <v>973950</v>
      </c>
    </row>
    <row r="95" customFormat="false" ht="15.75" hidden="false" customHeight="false" outlineLevel="0" collapsed="false">
      <c r="A95" s="218" t="s">
        <v>1160</v>
      </c>
      <c r="B95" s="219" t="n">
        <f aca="false">B94</f>
        <v>-562400</v>
      </c>
      <c r="C95" s="219" t="n">
        <f aca="false">B95+C94</f>
        <v>-840800</v>
      </c>
      <c r="D95" s="219" t="n">
        <f aca="false">C95+D94</f>
        <v>-967450</v>
      </c>
      <c r="E95" s="219" t="n">
        <f aca="false">D95+E94</f>
        <v>-810300</v>
      </c>
      <c r="F95" s="219" t="n">
        <f aca="false">E95</f>
        <v>-810300</v>
      </c>
      <c r="G95" s="219" t="n">
        <f aca="false">E95+G94</f>
        <v>163650</v>
      </c>
    </row>
    <row r="96" customFormat="false" ht="15.75" hidden="false" customHeight="false" outlineLevel="0" collapsed="false">
      <c r="A96" s="178"/>
    </row>
    <row r="97" customFormat="false" ht="15.75" hidden="false" customHeight="false" outlineLevel="0" collapsed="false">
      <c r="A97" s="195" t="s">
        <v>1162</v>
      </c>
      <c r="B97" s="195"/>
      <c r="C97" s="195"/>
      <c r="D97" s="195"/>
      <c r="E97" s="195"/>
      <c r="F97" s="195"/>
      <c r="G97" s="195"/>
    </row>
    <row r="98" customFormat="false" ht="15.75" hidden="false" customHeight="false" outlineLevel="0" collapsed="false">
      <c r="A98" s="196" t="s">
        <v>1163</v>
      </c>
      <c r="B98" s="205" t="n">
        <f aca="false">IF(B80&gt;0,B85/B80,0)</f>
        <v>-1.85185185185185</v>
      </c>
      <c r="C98" s="205" t="n">
        <f aca="false">IF(C80&gt;0,C85/C80,0)</f>
        <v>-0.550584996558844</v>
      </c>
      <c r="D98" s="205" t="n">
        <f aca="false">IF(D80&gt;0,D85/D80,0)</f>
        <v>-0.231481481481481</v>
      </c>
      <c r="E98" s="205" t="n">
        <f aca="false">IF(E80&gt;0,E85/E80,0)</f>
        <v>-0.121212121212121</v>
      </c>
      <c r="F98" s="220"/>
      <c r="G98" s="220"/>
    </row>
    <row r="99" customFormat="false" ht="15.75" hidden="false" customHeight="false" outlineLevel="0" collapsed="false">
      <c r="A99" s="196" t="s">
        <v>1164</v>
      </c>
      <c r="B99" s="221" t="n">
        <f aca="false">IF(B85&gt;0,B94/B85,0)</f>
        <v>0</v>
      </c>
      <c r="C99" s="221" t="n">
        <f aca="false">IF(C85&gt;0,C94/C85,0)</f>
        <v>0</v>
      </c>
      <c r="D99" s="221" t="n">
        <f aca="false">IF(D85&gt;0,D94/D85,0)</f>
        <v>0</v>
      </c>
      <c r="E99" s="221" t="n">
        <f aca="false">IF(E85&gt;0,E94/E85,0)</f>
        <v>0</v>
      </c>
      <c r="F99" s="222" t="n">
        <f aca="false">IF(F85&gt;0,F94/F85,0)</f>
        <v>0</v>
      </c>
      <c r="G99" s="222" t="n">
        <f aca="false">IF(G85&gt;0,G94/G85,0)</f>
        <v>0</v>
      </c>
    </row>
    <row r="101" customFormat="false" ht="15.75" hidden="false" customHeight="false" outlineLevel="0" collapsed="false">
      <c r="A101" s="178"/>
    </row>
    <row r="102" customFormat="false" ht="18.75" hidden="false" customHeight="true" outlineLevel="0" collapsed="false">
      <c r="A102" s="179" t="s">
        <v>1184</v>
      </c>
      <c r="B102" s="179"/>
      <c r="C102" s="179"/>
      <c r="D102" s="179"/>
      <c r="E102" s="179"/>
      <c r="F102" s="179"/>
      <c r="G102" s="179"/>
    </row>
    <row r="103" customFormat="false" ht="15.75" hidden="false" customHeight="false" outlineLevel="0" collapsed="false">
      <c r="A103" s="153" t="s">
        <v>1185</v>
      </c>
      <c r="B103" s="153"/>
      <c r="C103" s="153"/>
      <c r="D103" s="153"/>
      <c r="E103" s="153"/>
      <c r="F103" s="153"/>
      <c r="G103" s="153"/>
    </row>
    <row r="104" customFormat="false" ht="15.75" hidden="false" customHeight="false" outlineLevel="0" collapsed="false">
      <c r="A104" s="193" t="s">
        <v>1060</v>
      </c>
      <c r="B104" s="193" t="s">
        <v>1186</v>
      </c>
      <c r="C104" s="193" t="s">
        <v>1187</v>
      </c>
      <c r="D104" s="193" t="s">
        <v>1188</v>
      </c>
      <c r="E104" s="193" t="s">
        <v>1189</v>
      </c>
      <c r="F104" s="193" t="s">
        <v>1190</v>
      </c>
      <c r="G104" s="193" t="s">
        <v>1191</v>
      </c>
    </row>
    <row r="105" customFormat="false" ht="15.75" hidden="false" customHeight="false" outlineLevel="0" collapsed="false">
      <c r="A105" s="195" t="s">
        <v>1192</v>
      </c>
      <c r="B105" s="195"/>
      <c r="C105" s="195"/>
      <c r="D105" s="195"/>
      <c r="E105" s="195"/>
      <c r="F105" s="195"/>
      <c r="G105" s="195"/>
    </row>
    <row r="106" customFormat="false" ht="15.75" hidden="false" customHeight="false" outlineLevel="0" collapsed="false">
      <c r="A106" s="196" t="s">
        <v>1193</v>
      </c>
      <c r="B106" s="230" t="s">
        <v>1194</v>
      </c>
      <c r="C106" s="231" t="n">
        <v>3</v>
      </c>
      <c r="D106" s="230" t="s">
        <v>162</v>
      </c>
      <c r="E106" s="232" t="s">
        <v>1195</v>
      </c>
      <c r="F106" s="232" t="s">
        <v>1196</v>
      </c>
      <c r="G106" s="197" t="n">
        <v>1200</v>
      </c>
    </row>
    <row r="107" customFormat="false" ht="15.75" hidden="false" customHeight="false" outlineLevel="0" collapsed="false">
      <c r="A107" s="233" t="s">
        <v>1197</v>
      </c>
      <c r="B107" s="234" t="s">
        <v>1198</v>
      </c>
      <c r="C107" s="235" t="n">
        <v>3</v>
      </c>
      <c r="D107" s="234" t="s">
        <v>592</v>
      </c>
      <c r="E107" s="236" t="s">
        <v>1199</v>
      </c>
      <c r="F107" s="236" t="s">
        <v>1200</v>
      </c>
      <c r="G107" s="237" t="n">
        <v>900</v>
      </c>
    </row>
    <row r="108" customFormat="false" ht="15.75" hidden="false" customHeight="false" outlineLevel="0" collapsed="false">
      <c r="A108" s="196" t="s">
        <v>1201</v>
      </c>
      <c r="B108" s="230" t="s">
        <v>1202</v>
      </c>
      <c r="C108" s="230" t="n">
        <v>2</v>
      </c>
      <c r="D108" s="230" t="s">
        <v>593</v>
      </c>
      <c r="E108" s="232" t="s">
        <v>1203</v>
      </c>
      <c r="F108" s="232" t="s">
        <v>1204</v>
      </c>
      <c r="G108" s="197" t="n">
        <v>600</v>
      </c>
    </row>
    <row r="109" customFormat="false" ht="15.75" hidden="false" customHeight="false" outlineLevel="0" collapsed="false">
      <c r="A109" s="178"/>
    </row>
    <row r="110" customFormat="false" ht="15.75" hidden="false" customHeight="false" outlineLevel="0" collapsed="false">
      <c r="A110" s="238" t="s">
        <v>1205</v>
      </c>
      <c r="B110" s="238"/>
      <c r="C110" s="238"/>
      <c r="D110" s="238"/>
      <c r="E110" s="238"/>
      <c r="F110" s="238"/>
      <c r="G110" s="238"/>
    </row>
    <row r="111" customFormat="false" ht="15.75" hidden="false" customHeight="false" outlineLevel="0" collapsed="false">
      <c r="A111" s="208" t="s">
        <v>1082</v>
      </c>
      <c r="B111" s="239" t="s">
        <v>1206</v>
      </c>
      <c r="C111" s="240" t="n">
        <v>8</v>
      </c>
      <c r="D111" s="239" t="s">
        <v>1207</v>
      </c>
      <c r="E111" s="241" t="n">
        <f aca="false">F55</f>
        <v>298090</v>
      </c>
      <c r="F111" s="241" t="n">
        <f aca="false">G55</f>
        <v>1085090</v>
      </c>
      <c r="G111" s="242" t="n">
        <v>8350</v>
      </c>
    </row>
    <row r="112" customFormat="false" ht="15.75" hidden="false" customHeight="false" outlineLevel="0" collapsed="false">
      <c r="A112" s="243" t="s">
        <v>1208</v>
      </c>
      <c r="B112" s="230" t="s">
        <v>1209</v>
      </c>
      <c r="C112" s="231" t="n">
        <v>10</v>
      </c>
      <c r="D112" s="230" t="s">
        <v>593</v>
      </c>
      <c r="E112" s="244" t="n">
        <f aca="false">F90</f>
        <v>29150</v>
      </c>
      <c r="F112" s="244" t="n">
        <f aca="false">G90</f>
        <v>585550</v>
      </c>
      <c r="G112" s="245" t="n">
        <v>8300</v>
      </c>
    </row>
    <row r="113" customFormat="false" ht="15.75" hidden="false" customHeight="false" outlineLevel="0" collapsed="false">
      <c r="A113" s="246" t="s">
        <v>1090</v>
      </c>
      <c r="B113" s="239" t="s">
        <v>1210</v>
      </c>
      <c r="C113" s="240" t="n">
        <v>3</v>
      </c>
      <c r="D113" s="239" t="s">
        <v>594</v>
      </c>
      <c r="E113" s="247" t="s">
        <v>1211</v>
      </c>
      <c r="F113" s="247" t="s">
        <v>1212</v>
      </c>
      <c r="G113" s="248" t="n">
        <v>800</v>
      </c>
    </row>
    <row r="114" customFormat="false" ht="15.75" hidden="false" customHeight="false" outlineLevel="0" collapsed="false">
      <c r="A114" s="178"/>
    </row>
    <row r="115" customFormat="false" ht="15.75" hidden="false" customHeight="false" outlineLevel="0" collapsed="false">
      <c r="A115" s="249" t="s">
        <v>1213</v>
      </c>
      <c r="B115" s="249"/>
      <c r="C115" s="249"/>
      <c r="D115" s="249"/>
      <c r="E115" s="249"/>
      <c r="F115" s="249"/>
      <c r="G115" s="249"/>
    </row>
    <row r="116" customFormat="false" ht="15.75" hidden="false" customHeight="false" outlineLevel="0" collapsed="false">
      <c r="A116" s="250" t="s">
        <v>1214</v>
      </c>
      <c r="B116" s="251" t="s">
        <v>1215</v>
      </c>
      <c r="C116" s="251" t="s">
        <v>1216</v>
      </c>
      <c r="D116" s="251" t="s">
        <v>470</v>
      </c>
      <c r="E116" s="252" t="s">
        <v>1217</v>
      </c>
      <c r="F116" s="252" t="s">
        <v>1217</v>
      </c>
      <c r="G116" s="252" t="s">
        <v>1217</v>
      </c>
    </row>
    <row r="117" customFormat="false" ht="15.75" hidden="false" customHeight="false" outlineLevel="0" collapsed="false">
      <c r="A117" s="178"/>
    </row>
    <row r="118" customFormat="false" ht="15.75" hidden="false" customHeight="false" outlineLevel="0" collapsed="false">
      <c r="A118" s="216" t="s">
        <v>1218</v>
      </c>
      <c r="B118" s="253" t="s">
        <v>1219</v>
      </c>
      <c r="C118" s="253" t="s">
        <v>1220</v>
      </c>
      <c r="D118" s="253" t="s">
        <v>1221</v>
      </c>
      <c r="E118" s="253" t="s">
        <v>1222</v>
      </c>
      <c r="F118" s="253" t="s">
        <v>1223</v>
      </c>
      <c r="G118" s="253" t="s">
        <v>1224</v>
      </c>
    </row>
    <row r="119" customFormat="false" ht="15.75" hidden="false" customHeight="false" outlineLevel="0" collapsed="false">
      <c r="A119" s="178"/>
    </row>
    <row r="120" customFormat="false" ht="15.75" hidden="false" customHeight="false" outlineLevel="0" collapsed="false">
      <c r="A120" s="254" t="s">
        <v>1225</v>
      </c>
      <c r="B120" s="254"/>
      <c r="C120" s="254"/>
      <c r="D120" s="254"/>
      <c r="E120" s="254"/>
      <c r="F120" s="254"/>
      <c r="G120" s="254"/>
    </row>
    <row r="121" customFormat="false" ht="15.75" hidden="false" customHeight="false" outlineLevel="0" collapsed="false">
      <c r="A121" s="220"/>
    </row>
    <row r="122" customFormat="false" ht="15.75" hidden="false" customHeight="false" outlineLevel="0" collapsed="false">
      <c r="A122" s="193" t="s">
        <v>1226</v>
      </c>
      <c r="B122" s="193" t="s">
        <v>1227</v>
      </c>
      <c r="C122" s="193" t="s">
        <v>1228</v>
      </c>
      <c r="D122" s="193" t="s">
        <v>1229</v>
      </c>
    </row>
    <row r="123" customFormat="false" ht="15.75" hidden="false" customHeight="false" outlineLevel="0" collapsed="false">
      <c r="A123" s="255" t="s">
        <v>1230</v>
      </c>
      <c r="B123" s="247" t="s">
        <v>1231</v>
      </c>
      <c r="C123" s="252" t="s">
        <v>1232</v>
      </c>
      <c r="D123" s="256" t="s">
        <v>1233</v>
      </c>
    </row>
    <row r="124" customFormat="false" ht="15.75" hidden="false" customHeight="false" outlineLevel="0" collapsed="false">
      <c r="A124" s="243" t="s">
        <v>1234</v>
      </c>
      <c r="B124" s="247" t="s">
        <v>1235</v>
      </c>
      <c r="C124" s="252" t="s">
        <v>1236</v>
      </c>
      <c r="D124" s="256" t="s">
        <v>1237</v>
      </c>
    </row>
    <row r="125" customFormat="false" ht="15.75" hidden="false" customHeight="false" outlineLevel="0" collapsed="false">
      <c r="A125" s="255" t="s">
        <v>1138</v>
      </c>
      <c r="B125" s="247" t="s">
        <v>1238</v>
      </c>
      <c r="C125" s="252" t="s">
        <v>1239</v>
      </c>
      <c r="D125" s="256" t="s">
        <v>1240</v>
      </c>
    </row>
    <row r="126" customFormat="false" ht="15.75" hidden="false" customHeight="false" outlineLevel="0" collapsed="false">
      <c r="A126" s="243" t="s">
        <v>1241</v>
      </c>
      <c r="B126" s="247" t="s">
        <v>1242</v>
      </c>
      <c r="C126" s="252" t="s">
        <v>1243</v>
      </c>
      <c r="D126" s="256" t="s">
        <v>1244</v>
      </c>
    </row>
    <row r="127" customFormat="false" ht="15.75" hidden="false" customHeight="false" outlineLevel="0" collapsed="false">
      <c r="A127" s="255" t="s">
        <v>1245</v>
      </c>
      <c r="B127" s="247" t="s">
        <v>1246</v>
      </c>
      <c r="C127" s="252" t="s">
        <v>1247</v>
      </c>
      <c r="D127" s="256" t="s">
        <v>1248</v>
      </c>
    </row>
    <row r="128" customFormat="false" ht="15.75" hidden="false" customHeight="false" outlineLevel="0" collapsed="false">
      <c r="A128" s="243" t="s">
        <v>1249</v>
      </c>
      <c r="B128" s="247" t="s">
        <v>1250</v>
      </c>
      <c r="C128" s="252" t="s">
        <v>1251</v>
      </c>
      <c r="D128" s="256" t="s">
        <v>1252</v>
      </c>
    </row>
  </sheetData>
  <mergeCells count="30">
    <mergeCell ref="A1:G1"/>
    <mergeCell ref="A2:G2"/>
    <mergeCell ref="A4:G4"/>
    <mergeCell ref="A18:G18"/>
    <mergeCell ref="A20:G20"/>
    <mergeCell ref="A21:G21"/>
    <mergeCell ref="A23:G23"/>
    <mergeCell ref="A24:G24"/>
    <mergeCell ref="A26:B26"/>
    <mergeCell ref="C26:D26"/>
    <mergeCell ref="A36:G36"/>
    <mergeCell ref="A38:G38"/>
    <mergeCell ref="A43:G43"/>
    <mergeCell ref="A48:G48"/>
    <mergeCell ref="A58:G58"/>
    <mergeCell ref="A63:G63"/>
    <mergeCell ref="A64:G64"/>
    <mergeCell ref="A65:B65"/>
    <mergeCell ref="C65:D65"/>
    <mergeCell ref="A75:G75"/>
    <mergeCell ref="A77:G77"/>
    <mergeCell ref="A82:G82"/>
    <mergeCell ref="A87:G87"/>
    <mergeCell ref="A97:G97"/>
    <mergeCell ref="A102:G102"/>
    <mergeCell ref="A103:G103"/>
    <mergeCell ref="A105:G105"/>
    <mergeCell ref="A110:G110"/>
    <mergeCell ref="A115:G115"/>
    <mergeCell ref="A120:G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94" zoomScaleNormal="94" zoomScalePageLayoutView="100" workbookViewId="0">
      <selection pane="topLeft" activeCell="J14" activeCellId="0" sqref="J14"/>
    </sheetView>
  </sheetViews>
  <sheetFormatPr defaultColWidth="10.4921875" defaultRowHeight="15.7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3.33"/>
    <col collapsed="false" customWidth="true" hidden="false" outlineLevel="0" max="3" min="3" style="0" width="29.33"/>
    <col collapsed="false" customWidth="true" hidden="false" outlineLevel="0" max="7" min="4" style="0" width="23.33"/>
  </cols>
  <sheetData>
    <row r="1" customFormat="false" ht="24" hidden="false" customHeight="true" outlineLevel="0" collapsed="false">
      <c r="A1" s="134" t="s">
        <v>1253</v>
      </c>
      <c r="B1" s="44"/>
      <c r="C1" s="44"/>
      <c r="D1" s="44"/>
      <c r="E1" s="44"/>
      <c r="F1" s="44"/>
      <c r="G1" s="44"/>
    </row>
    <row r="2" customFormat="false" ht="15.75" hidden="false" customHeight="false" outlineLevel="0" collapsed="false">
      <c r="A2" s="102" t="s">
        <v>1254</v>
      </c>
    </row>
    <row r="4" customFormat="false" ht="18" hidden="false" customHeight="true" outlineLevel="0" collapsed="false">
      <c r="A4" s="135" t="s">
        <v>1255</v>
      </c>
      <c r="B4" s="46"/>
      <c r="C4" s="46"/>
      <c r="D4" s="46"/>
      <c r="E4" s="46"/>
      <c r="F4" s="46"/>
      <c r="G4" s="46"/>
    </row>
    <row r="5" customFormat="false" ht="15.75" hidden="false" customHeight="false" outlineLevel="0" collapsed="false">
      <c r="A5" s="66" t="s">
        <v>1256</v>
      </c>
      <c r="B5" s="67" t="s">
        <v>1257</v>
      </c>
      <c r="C5" s="67" t="s">
        <v>1258</v>
      </c>
      <c r="D5" s="67" t="s">
        <v>1259</v>
      </c>
      <c r="E5" s="67" t="s">
        <v>1260</v>
      </c>
      <c r="F5" s="67" t="s">
        <v>1261</v>
      </c>
      <c r="G5" s="67" t="s">
        <v>1262</v>
      </c>
    </row>
    <row r="6" customFormat="false" ht="15.75" hidden="false" customHeight="false" outlineLevel="0" collapsed="false">
      <c r="A6" s="52" t="s">
        <v>1263</v>
      </c>
      <c r="B6" s="51" t="s">
        <v>1264</v>
      </c>
      <c r="C6" s="51" t="s">
        <v>1265</v>
      </c>
      <c r="D6" s="57" t="n">
        <v>25000</v>
      </c>
      <c r="E6" s="65" t="n">
        <f aca="false">D6*12</f>
        <v>300000</v>
      </c>
      <c r="F6" s="55" t="n">
        <v>0.85</v>
      </c>
      <c r="G6" s="51" t="s">
        <v>960</v>
      </c>
    </row>
    <row r="7" customFormat="false" ht="15.75" hidden="false" customHeight="false" outlineLevel="0" collapsed="false">
      <c r="A7" s="102" t="s">
        <v>1266</v>
      </c>
    </row>
    <row r="8" customFormat="false" ht="15.75" hidden="false" customHeight="false" outlineLevel="0" collapsed="false">
      <c r="A8" s="52" t="s">
        <v>1267</v>
      </c>
      <c r="B8" s="51" t="s">
        <v>1268</v>
      </c>
      <c r="C8" s="51" t="s">
        <v>1269</v>
      </c>
      <c r="D8" s="57" t="n">
        <v>35000</v>
      </c>
      <c r="E8" s="65" t="n">
        <f aca="false">D8*12</f>
        <v>420000</v>
      </c>
      <c r="F8" s="55" t="n">
        <v>0.7</v>
      </c>
      <c r="G8" s="51" t="s">
        <v>960</v>
      </c>
    </row>
    <row r="9" customFormat="false" ht="15.75" hidden="false" customHeight="false" outlineLevel="0" collapsed="false">
      <c r="A9" s="102" t="s">
        <v>1270</v>
      </c>
    </row>
    <row r="10" customFormat="false" ht="15.75" hidden="false" customHeight="false" outlineLevel="0" collapsed="false">
      <c r="A10" s="52" t="s">
        <v>1271</v>
      </c>
      <c r="B10" s="51" t="s">
        <v>1272</v>
      </c>
      <c r="C10" s="51" t="s">
        <v>1273</v>
      </c>
      <c r="D10" s="57" t="n">
        <v>40000</v>
      </c>
      <c r="E10" s="65" t="n">
        <f aca="false">D10*12</f>
        <v>480000</v>
      </c>
      <c r="F10" s="55" t="n">
        <v>0.4</v>
      </c>
      <c r="G10" s="51" t="s">
        <v>949</v>
      </c>
    </row>
    <row r="11" customFormat="false" ht="15.75" hidden="false" customHeight="false" outlineLevel="0" collapsed="false">
      <c r="A11" s="102" t="s">
        <v>1274</v>
      </c>
    </row>
    <row r="12" customFormat="false" ht="15.75" hidden="false" customHeight="false" outlineLevel="0" collapsed="false">
      <c r="A12" s="52" t="s">
        <v>1275</v>
      </c>
      <c r="B12" s="51" t="s">
        <v>1276</v>
      </c>
      <c r="C12" s="51" t="s">
        <v>1277</v>
      </c>
      <c r="D12" s="57" t="n">
        <v>20000</v>
      </c>
      <c r="E12" s="65" t="n">
        <f aca="false">D12*12</f>
        <v>240000</v>
      </c>
      <c r="F12" s="55" t="n">
        <v>0.9</v>
      </c>
      <c r="G12" s="51" t="s">
        <v>955</v>
      </c>
    </row>
    <row r="13" customFormat="false" ht="15.75" hidden="false" customHeight="false" outlineLevel="0" collapsed="false">
      <c r="A13" s="102" t="s">
        <v>1278</v>
      </c>
    </row>
    <row r="14" customFormat="false" ht="15.75" hidden="false" customHeight="false" outlineLevel="0" collapsed="false">
      <c r="A14" s="52" t="s">
        <v>1279</v>
      </c>
      <c r="B14" s="51" t="s">
        <v>1280</v>
      </c>
      <c r="C14" s="51" t="s">
        <v>1281</v>
      </c>
      <c r="D14" s="57" t="n">
        <v>15000</v>
      </c>
      <c r="E14" s="65" t="n">
        <f aca="false">D14*12</f>
        <v>180000</v>
      </c>
      <c r="F14" s="55" t="n">
        <v>0.95</v>
      </c>
      <c r="G14" s="51" t="s">
        <v>955</v>
      </c>
    </row>
    <row r="15" customFormat="false" ht="15.75" hidden="false" customHeight="false" outlineLevel="0" collapsed="false">
      <c r="A15" s="102" t="s">
        <v>1282</v>
      </c>
    </row>
    <row r="16" customFormat="false" ht="15.75" hidden="false" customHeight="false" outlineLevel="0" collapsed="false">
      <c r="A16" s="52" t="s">
        <v>1283</v>
      </c>
      <c r="B16" s="51" t="s">
        <v>1284</v>
      </c>
      <c r="C16" s="51" t="s">
        <v>1285</v>
      </c>
      <c r="D16" s="57" t="n">
        <v>8000</v>
      </c>
      <c r="E16" s="65" t="n">
        <f aca="false">D16*12</f>
        <v>96000</v>
      </c>
      <c r="F16" s="55" t="n">
        <v>0.95</v>
      </c>
      <c r="G16" s="51" t="s">
        <v>960</v>
      </c>
    </row>
    <row r="17" customFormat="false" ht="15.75" hidden="false" customHeight="false" outlineLevel="0" collapsed="false">
      <c r="A17" s="102" t="s">
        <v>1286</v>
      </c>
    </row>
    <row r="18" customFormat="false" ht="15.75" hidden="false" customHeight="false" outlineLevel="0" collapsed="false">
      <c r="A18" s="52" t="s">
        <v>1287</v>
      </c>
      <c r="B18" s="51" t="s">
        <v>1288</v>
      </c>
      <c r="C18" s="51" t="s">
        <v>1289</v>
      </c>
      <c r="D18" s="57" t="n">
        <v>30000</v>
      </c>
      <c r="E18" s="65" t="n">
        <f aca="false">D18*12</f>
        <v>360000</v>
      </c>
      <c r="F18" s="55" t="n">
        <v>0.8</v>
      </c>
      <c r="G18" s="51" t="s">
        <v>960</v>
      </c>
    </row>
    <row r="19" customFormat="false" ht="15.75" hidden="false" customHeight="false" outlineLevel="0" collapsed="false">
      <c r="A19" s="102" t="s">
        <v>1290</v>
      </c>
    </row>
    <row r="21" customFormat="false" ht="15.75" hidden="false" customHeight="false" outlineLevel="0" collapsed="false">
      <c r="A21" s="99" t="s">
        <v>1291</v>
      </c>
      <c r="D21" s="63" t="n">
        <f aca="false">SUM(D6,D8,D10,D12,D14,D16,D18)</f>
        <v>173000</v>
      </c>
      <c r="E21" s="63" t="n">
        <f aca="false">D21*12</f>
        <v>2076000</v>
      </c>
    </row>
    <row r="22" customFormat="false" ht="15.75" hidden="false" customHeight="false" outlineLevel="0" collapsed="false">
      <c r="A22" s="49" t="s">
        <v>1292</v>
      </c>
      <c r="E22" s="83" t="n">
        <f aca="false">E21/'Multi-Year Projections'!F21</f>
        <v>0.374172256054168</v>
      </c>
    </row>
    <row r="24" customFormat="false" ht="18" hidden="false" customHeight="true" outlineLevel="0" collapsed="false">
      <c r="A24" s="135" t="s">
        <v>1293</v>
      </c>
      <c r="B24" s="46"/>
      <c r="C24" s="46"/>
      <c r="D24" s="46"/>
      <c r="E24" s="46"/>
      <c r="F24" s="46"/>
      <c r="G24" s="46"/>
    </row>
    <row r="25" customFormat="false" ht="15.75" hidden="false" customHeight="false" outlineLevel="0" collapsed="false">
      <c r="A25" s="66" t="s">
        <v>1294</v>
      </c>
      <c r="B25" s="67" t="s">
        <v>1295</v>
      </c>
      <c r="C25" s="67" t="s">
        <v>1179</v>
      </c>
      <c r="D25" s="67" t="s">
        <v>59</v>
      </c>
      <c r="E25" s="67" t="s">
        <v>1296</v>
      </c>
      <c r="F25" s="67" t="s">
        <v>1297</v>
      </c>
    </row>
    <row r="26" customFormat="false" ht="15.75" hidden="false" customHeight="false" outlineLevel="0" collapsed="false">
      <c r="A26" s="49" t="s">
        <v>756</v>
      </c>
      <c r="B26" s="70" t="n">
        <f aca="false">'Multi-Year Projections'!B21</f>
        <v>157261.25</v>
      </c>
      <c r="C26" s="70" t="n">
        <f aca="false">'Multi-Year Projections'!B22</f>
        <v>0</v>
      </c>
      <c r="D26" s="70" t="n">
        <f aca="false">'Multi-Year Projections'!B23</f>
        <v>157261.25</v>
      </c>
      <c r="E26" s="71" t="n">
        <f aca="false">IF(D26=0,0,C26/D26)</f>
        <v>0</v>
      </c>
      <c r="F26" s="51" t="s">
        <v>1298</v>
      </c>
    </row>
    <row r="27" customFormat="false" ht="15.75" hidden="false" customHeight="false" outlineLevel="0" collapsed="false">
      <c r="A27" s="49" t="s">
        <v>757</v>
      </c>
      <c r="B27" s="70" t="n">
        <f aca="false">'Multi-Year Projections'!C21</f>
        <v>961830.45</v>
      </c>
      <c r="C27" s="70" t="n">
        <f aca="false">'Multi-Year Projections'!C22</f>
        <v>28404</v>
      </c>
      <c r="D27" s="70" t="n">
        <f aca="false">'Multi-Year Projections'!C23</f>
        <v>990234.45</v>
      </c>
      <c r="E27" s="71" t="n">
        <f aca="false">IF(D27=0,0,C27/D27)</f>
        <v>0.0286841161706705</v>
      </c>
      <c r="F27" s="51" t="s">
        <v>1299</v>
      </c>
    </row>
    <row r="28" customFormat="false" ht="15.75" hidden="false" customHeight="false" outlineLevel="0" collapsed="false">
      <c r="A28" s="49" t="s">
        <v>758</v>
      </c>
      <c r="B28" s="70" t="n">
        <f aca="false">'Multi-Year Projections'!D21</f>
        <v>2016142.0965</v>
      </c>
      <c r="C28" s="70" t="n">
        <f aca="false">'Multi-Year Projections'!D22</f>
        <v>139110</v>
      </c>
      <c r="D28" s="70" t="n">
        <f aca="false">'Multi-Year Projections'!D23</f>
        <v>2155252.0965</v>
      </c>
      <c r="E28" s="71" t="n">
        <f aca="false">IF(D28=0,0,C28/D28)</f>
        <v>0.0645446536049803</v>
      </c>
      <c r="F28" s="51" t="s">
        <v>1300</v>
      </c>
    </row>
    <row r="29" customFormat="false" ht="15.75" hidden="false" customHeight="false" outlineLevel="0" collapsed="false">
      <c r="A29" s="49" t="s">
        <v>759</v>
      </c>
      <c r="B29" s="70" t="n">
        <f aca="false">'Multi-Year Projections'!E21</f>
        <v>3572836.84485</v>
      </c>
      <c r="C29" s="70" t="n">
        <f aca="false">'Multi-Year Projections'!E22</f>
        <v>422604</v>
      </c>
      <c r="D29" s="70" t="n">
        <f aca="false">'Multi-Year Projections'!E23</f>
        <v>3995440.84485</v>
      </c>
      <c r="E29" s="71" t="n">
        <f aca="false">IF(D29=0,0,C29/D29)</f>
        <v>0.105771557234973</v>
      </c>
      <c r="F29" s="51" t="s">
        <v>1301</v>
      </c>
    </row>
    <row r="30" customFormat="false" ht="15.75" hidden="false" customHeight="false" outlineLevel="0" collapsed="false">
      <c r="A30" s="99" t="s">
        <v>760</v>
      </c>
      <c r="B30" s="143" t="n">
        <f aca="false">'Multi-Year Projections'!F21</f>
        <v>5548246.74039825</v>
      </c>
      <c r="C30" s="143" t="n">
        <f aca="false">'Multi-Year Projections'!F22</f>
        <v>991116</v>
      </c>
      <c r="D30" s="143" t="n">
        <f aca="false">'Multi-Year Projections'!F23</f>
        <v>6539362.74039825</v>
      </c>
      <c r="E30" s="129" t="n">
        <f aca="false">IF(D30=0,0,C30/D30)</f>
        <v>0.151561557195348</v>
      </c>
      <c r="F30" s="53" t="s">
        <v>1302</v>
      </c>
    </row>
    <row r="32" customFormat="false" ht="18" hidden="false" customHeight="true" outlineLevel="0" collapsed="false">
      <c r="A32" s="97" t="s">
        <v>1303</v>
      </c>
      <c r="B32" s="44"/>
      <c r="C32" s="44"/>
      <c r="D32" s="44"/>
      <c r="E32" s="44"/>
      <c r="F32" s="44"/>
      <c r="G32" s="44"/>
    </row>
    <row r="34" customFormat="false" ht="15.75" hidden="false" customHeight="false" outlineLevel="0" collapsed="false">
      <c r="A34" s="49" t="s">
        <v>1304</v>
      </c>
    </row>
    <row r="35" customFormat="false" ht="15.75" hidden="false" customHeight="false" outlineLevel="0" collapsed="false">
      <c r="A35" s="49" t="s">
        <v>1305</v>
      </c>
    </row>
    <row r="36" customFormat="false" ht="15.75" hidden="false" customHeight="false" outlineLevel="0" collapsed="false">
      <c r="A36" s="49" t="s">
        <v>1306</v>
      </c>
    </row>
    <row r="37" customFormat="false" ht="15.75" hidden="false" customHeight="false" outlineLevel="0" collapsed="false">
      <c r="A37" s="49" t="s">
        <v>1307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2026-02-10T18:54:01Z</dcterms:created>
  <dc:creator>Rad Al Zubi</dc:creator>
  <dc:description/>
  <dc:language>en-US</dc:language>
  <cp:lastModifiedBy>Rad Al Zubi</cp:lastModifiedBy>
  <dcterms:modified xsi:type="dcterms:W3CDTF">2026-02-18T22:35:38Z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