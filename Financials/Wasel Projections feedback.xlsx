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adalzubi/Desktop/wg1/Financials/"/>
    </mc:Choice>
  </mc:AlternateContent>
  <xr:revisionPtr revIDLastSave="0" documentId="13_ncr:1_{D9F7062C-FD6C-8242-80B3-BFF1871A32D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ipeline Fixes" sheetId="1" r:id="rId1"/>
    <sheet name="Rider Economics" sheetId="2" r:id="rId2"/>
    <sheet name="Rider Strategy v2" sheetId="3" r:id="rId3"/>
    <sheet name="Assumptions" sheetId="4" r:id="rId4"/>
    <sheet name="Tiered Plans" sheetId="5" r:id="rId5"/>
    <sheet name="Monthly P&amp;L" sheetId="6" r:id="rId6"/>
    <sheet name="Unit Economics" sheetId="7" r:id="rId7"/>
    <sheet name="Cash Flow" sheetId="8" r:id="rId8"/>
    <sheet name="Stress Tests" sheetId="9" r:id="rId9"/>
    <sheet name="Multi-Year Projections" sheetId="10" r:id="rId10"/>
    <sheet name="Executive Summary" sheetId="11" r:id="rId11"/>
    <sheet name="Market Expansion" sheetId="12" r:id="rId12"/>
    <sheet name="Future Revenue Stream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3" l="1"/>
  <c r="D21" i="13"/>
  <c r="E21" i="13" s="1"/>
  <c r="E18" i="13"/>
  <c r="E16" i="13"/>
  <c r="E14" i="13"/>
  <c r="E12" i="13"/>
  <c r="E10" i="13"/>
  <c r="E8" i="13"/>
  <c r="E6" i="13"/>
  <c r="F112" i="12"/>
  <c r="E112" i="12"/>
  <c r="G99" i="12"/>
  <c r="F99" i="12"/>
  <c r="E99" i="12"/>
  <c r="D99" i="12"/>
  <c r="C99" i="12"/>
  <c r="B99" i="12"/>
  <c r="E98" i="12"/>
  <c r="D98" i="12"/>
  <c r="C98" i="12"/>
  <c r="B98" i="12"/>
  <c r="E94" i="12"/>
  <c r="D94" i="12"/>
  <c r="C94" i="12"/>
  <c r="B94" i="12"/>
  <c r="B95" i="12" s="1"/>
  <c r="C95" i="12" s="1"/>
  <c r="D95" i="12" s="1"/>
  <c r="E95" i="12" s="1"/>
  <c r="G92" i="12"/>
  <c r="G94" i="12" s="1"/>
  <c r="F92" i="12"/>
  <c r="F94" i="12" s="1"/>
  <c r="E92" i="12"/>
  <c r="D92" i="12"/>
  <c r="C92" i="12"/>
  <c r="B92" i="12"/>
  <c r="F91" i="12"/>
  <c r="B60" i="12"/>
  <c r="E59" i="12"/>
  <c r="D59" i="12"/>
  <c r="C59" i="12"/>
  <c r="B59" i="12"/>
  <c r="B56" i="12"/>
  <c r="B54" i="12"/>
  <c r="B55" i="12" s="1"/>
  <c r="G53" i="12"/>
  <c r="G54" i="12" s="1"/>
  <c r="E53" i="12"/>
  <c r="E54" i="12" s="1"/>
  <c r="D53" i="12"/>
  <c r="D54" i="12" s="1"/>
  <c r="C53" i="12"/>
  <c r="C54" i="12" s="1"/>
  <c r="B53" i="12"/>
  <c r="E30" i="11"/>
  <c r="E29" i="11"/>
  <c r="E28" i="11"/>
  <c r="D28" i="11"/>
  <c r="C28" i="11"/>
  <c r="E27" i="11"/>
  <c r="D27" i="11"/>
  <c r="C27" i="11"/>
  <c r="D21" i="11"/>
  <c r="E20" i="11"/>
  <c r="D20" i="11"/>
  <c r="B20" i="11"/>
  <c r="E19" i="11"/>
  <c r="D19" i="11"/>
  <c r="B19" i="11"/>
  <c r="E18" i="11"/>
  <c r="D18" i="11"/>
  <c r="B18" i="11"/>
  <c r="B14" i="11"/>
  <c r="B13" i="11"/>
  <c r="C51" i="10"/>
  <c r="C57" i="8" s="1"/>
  <c r="B51" i="10"/>
  <c r="B57" i="8"/>
  <c r="B49" i="8"/>
  <c r="B15" i="8"/>
  <c r="O15" i="8" s="1"/>
  <c r="B11" i="8"/>
  <c r="B52" i="7"/>
  <c r="B51" i="7"/>
  <c r="B44" i="11" s="1"/>
  <c r="B42" i="7"/>
  <c r="B41" i="7"/>
  <c r="B40" i="7"/>
  <c r="B39" i="7"/>
  <c r="B43" i="7" s="1"/>
  <c r="B26" i="7"/>
  <c r="D25" i="7"/>
  <c r="E25" i="7" s="1"/>
  <c r="E24" i="7"/>
  <c r="D24" i="7"/>
  <c r="C24" i="7"/>
  <c r="D23" i="7"/>
  <c r="E23" i="7" s="1"/>
  <c r="E22" i="7"/>
  <c r="D22" i="7"/>
  <c r="C22" i="7"/>
  <c r="B22" i="7"/>
  <c r="E16" i="7"/>
  <c r="D16" i="7"/>
  <c r="C16" i="7"/>
  <c r="B16" i="7"/>
  <c r="D15" i="7"/>
  <c r="D21" i="7" s="1"/>
  <c r="C15" i="7"/>
  <c r="C21" i="7" s="1"/>
  <c r="B15" i="7"/>
  <c r="B21" i="7" s="1"/>
  <c r="B27" i="7" s="1"/>
  <c r="B32" i="7" s="1"/>
  <c r="D9" i="7"/>
  <c r="C9" i="7"/>
  <c r="B9" i="7"/>
  <c r="D8" i="7"/>
  <c r="C8" i="7"/>
  <c r="E6" i="7"/>
  <c r="D6" i="7"/>
  <c r="C6" i="7"/>
  <c r="B6" i="7"/>
  <c r="O51" i="6"/>
  <c r="N50" i="6"/>
  <c r="M50" i="6"/>
  <c r="L50" i="6"/>
  <c r="K50" i="6"/>
  <c r="J50" i="6"/>
  <c r="I50" i="6"/>
  <c r="H50" i="6"/>
  <c r="G50" i="6"/>
  <c r="F50" i="6"/>
  <c r="E50" i="6"/>
  <c r="D50" i="6"/>
  <c r="C50" i="6"/>
  <c r="O50" i="6" s="1"/>
  <c r="B50" i="10" s="1"/>
  <c r="N43" i="6"/>
  <c r="M43" i="6"/>
  <c r="L43" i="6"/>
  <c r="K43" i="6"/>
  <c r="J43" i="6"/>
  <c r="I43" i="6"/>
  <c r="H43" i="6"/>
  <c r="G43" i="6"/>
  <c r="F43" i="6"/>
  <c r="E43" i="6"/>
  <c r="D43" i="6"/>
  <c r="C43" i="6"/>
  <c r="O43" i="6" s="1"/>
  <c r="B43" i="10" s="1"/>
  <c r="M42" i="6"/>
  <c r="K42" i="6"/>
  <c r="I42" i="6"/>
  <c r="C42" i="6"/>
  <c r="N41" i="6"/>
  <c r="M41" i="6"/>
  <c r="L41" i="6"/>
  <c r="K41" i="6"/>
  <c r="J41" i="6"/>
  <c r="I41" i="6"/>
  <c r="H41" i="6"/>
  <c r="G41" i="6"/>
  <c r="F41" i="6"/>
  <c r="E41" i="6"/>
  <c r="D41" i="6"/>
  <c r="C41" i="6"/>
  <c r="O41" i="6" s="1"/>
  <c r="B41" i="10" s="1"/>
  <c r="N38" i="6"/>
  <c r="M38" i="6"/>
  <c r="L38" i="6"/>
  <c r="K38" i="6"/>
  <c r="J38" i="6"/>
  <c r="I38" i="6"/>
  <c r="H38" i="6"/>
  <c r="G38" i="6"/>
  <c r="F38" i="6"/>
  <c r="E38" i="6"/>
  <c r="D38" i="6"/>
  <c r="C38" i="6"/>
  <c r="C20" i="6"/>
  <c r="C19" i="6"/>
  <c r="C18" i="6"/>
  <c r="C17" i="6"/>
  <c r="C21" i="6" s="1"/>
  <c r="O16" i="6"/>
  <c r="D9" i="6"/>
  <c r="D19" i="6" s="1"/>
  <c r="C6" i="6"/>
  <c r="B56" i="5"/>
  <c r="B11" i="5"/>
  <c r="D10" i="5"/>
  <c r="C10" i="5"/>
  <c r="B10" i="5"/>
  <c r="D9" i="5"/>
  <c r="C9" i="5"/>
  <c r="B9" i="5"/>
  <c r="D7" i="5"/>
  <c r="C7" i="5"/>
  <c r="B7" i="5"/>
  <c r="D6" i="5"/>
  <c r="C6" i="5"/>
  <c r="B6" i="5"/>
  <c r="B115" i="4"/>
  <c r="B113" i="4"/>
  <c r="B114" i="4" s="1"/>
  <c r="C107" i="4"/>
  <c r="C106" i="4"/>
  <c r="C105" i="4"/>
  <c r="B105" i="4"/>
  <c r="B14" i="8" s="1"/>
  <c r="O14" i="8" s="1"/>
  <c r="B104" i="4"/>
  <c r="B103" i="4"/>
  <c r="C102" i="4"/>
  <c r="C98" i="4"/>
  <c r="B98" i="4"/>
  <c r="C96" i="4"/>
  <c r="C94" i="4"/>
  <c r="C91" i="4"/>
  <c r="B87" i="4"/>
  <c r="B59" i="4"/>
  <c r="C37" i="9" s="1"/>
  <c r="E50" i="4"/>
  <c r="B50" i="4"/>
  <c r="F49" i="4"/>
  <c r="C49" i="4"/>
  <c r="C20" i="11" s="1"/>
  <c r="F48" i="4"/>
  <c r="C7" i="7" s="1"/>
  <c r="C10" i="7" s="1"/>
  <c r="C48" i="4"/>
  <c r="C19" i="11" s="1"/>
  <c r="F47" i="4"/>
  <c r="B7" i="7" s="1"/>
  <c r="C47" i="4"/>
  <c r="C18" i="11" s="1"/>
  <c r="B22" i="4"/>
  <c r="E8" i="7" s="1"/>
  <c r="B13" i="4"/>
  <c r="B11" i="4"/>
  <c r="B23" i="4" s="1"/>
  <c r="B24" i="4" s="1"/>
  <c r="C43" i="10" l="1"/>
  <c r="D43" i="10" s="1"/>
  <c r="E43" i="10" s="1"/>
  <c r="F43" i="10" s="1"/>
  <c r="C50" i="10"/>
  <c r="B56" i="8"/>
  <c r="D37" i="9"/>
  <c r="F42" i="6"/>
  <c r="D34" i="9"/>
  <c r="G42" i="6"/>
  <c r="E42" i="6"/>
  <c r="O42" i="6" s="1"/>
  <c r="B42" i="10" s="1"/>
  <c r="D33" i="9"/>
  <c r="D42" i="6"/>
  <c r="D36" i="9"/>
  <c r="N42" i="6"/>
  <c r="D38" i="9"/>
  <c r="D35" i="9"/>
  <c r="J42" i="6"/>
  <c r="H42" i="6"/>
  <c r="B35" i="9"/>
  <c r="B37" i="9"/>
  <c r="B34" i="9"/>
  <c r="E34" i="9" s="1"/>
  <c r="C56" i="5"/>
  <c r="D56" i="5" s="1"/>
  <c r="E9" i="7"/>
  <c r="B33" i="9"/>
  <c r="D26" i="9"/>
  <c r="D29" i="9" s="1"/>
  <c r="B51" i="4"/>
  <c r="B36" i="9"/>
  <c r="E36" i="9" s="1"/>
  <c r="F36" i="9" s="1"/>
  <c r="B16" i="10"/>
  <c r="C16" i="10" s="1"/>
  <c r="D16" i="10" s="1"/>
  <c r="E16" i="10" s="1"/>
  <c r="F16" i="10" s="1"/>
  <c r="B21" i="11"/>
  <c r="C21" i="11" s="1"/>
  <c r="B38" i="9"/>
  <c r="B13" i="8"/>
  <c r="O13" i="8" s="1"/>
  <c r="C104" i="4"/>
  <c r="E15" i="7"/>
  <c r="D18" i="6"/>
  <c r="D20" i="6"/>
  <c r="L42" i="6"/>
  <c r="O11" i="8"/>
  <c r="C29" i="9"/>
  <c r="B29" i="9"/>
  <c r="F29" i="9"/>
  <c r="E29" i="9"/>
  <c r="E7" i="7"/>
  <c r="E10" i="7" s="1"/>
  <c r="H41" i="10"/>
  <c r="C41" i="10"/>
  <c r="D41" i="10" s="1"/>
  <c r="E41" i="10" s="1"/>
  <c r="F41" i="10" s="1"/>
  <c r="C55" i="12"/>
  <c r="B12" i="5"/>
  <c r="F18" i="11" s="1"/>
  <c r="C11" i="5"/>
  <c r="C12" i="5" s="1"/>
  <c r="F19" i="11" s="1"/>
  <c r="C23" i="6"/>
  <c r="C27" i="7"/>
  <c r="C32" i="7" s="1"/>
  <c r="C56" i="12"/>
  <c r="G19" i="11"/>
  <c r="C11" i="7"/>
  <c r="D12" i="5"/>
  <c r="F20" i="11" s="1"/>
  <c r="B109" i="4"/>
  <c r="B12" i="8"/>
  <c r="O12" i="8" s="1"/>
  <c r="D11" i="5"/>
  <c r="D7" i="7"/>
  <c r="D10" i="7" s="1"/>
  <c r="C103" i="4"/>
  <c r="C40" i="6"/>
  <c r="C31" i="6"/>
  <c r="C7" i="6"/>
  <c r="D27" i="7"/>
  <c r="D32" i="7" s="1"/>
  <c r="G95" i="12"/>
  <c r="F95" i="12"/>
  <c r="D26" i="7"/>
  <c r="C26" i="7"/>
  <c r="C34" i="9"/>
  <c r="B17" i="7"/>
  <c r="B31" i="7" s="1"/>
  <c r="B33" i="7" s="1"/>
  <c r="B34" i="7" s="1"/>
  <c r="C35" i="9"/>
  <c r="C38" i="9"/>
  <c r="C17" i="7"/>
  <c r="C31" i="7" s="1"/>
  <c r="B53" i="7"/>
  <c r="B8" i="7"/>
  <c r="D17" i="7"/>
  <c r="D31" i="7" s="1"/>
  <c r="D33" i="7" s="1"/>
  <c r="D34" i="7" s="1"/>
  <c r="O38" i="6"/>
  <c r="B38" i="10" s="1"/>
  <c r="C36" i="9"/>
  <c r="D51" i="10"/>
  <c r="F53" i="12"/>
  <c r="F54" i="12" s="1"/>
  <c r="C33" i="9"/>
  <c r="E26" i="7"/>
  <c r="B10" i="7"/>
  <c r="C42" i="10" l="1"/>
  <c r="D42" i="10" s="1"/>
  <c r="E42" i="10" s="1"/>
  <c r="F42" i="10" s="1"/>
  <c r="E21" i="7"/>
  <c r="E27" i="7" s="1"/>
  <c r="E32" i="7" s="1"/>
  <c r="E17" i="7"/>
  <c r="E31" i="7" s="1"/>
  <c r="E33" i="7" s="1"/>
  <c r="D56" i="12"/>
  <c r="G18" i="11"/>
  <c r="B11" i="7"/>
  <c r="E37" i="9"/>
  <c r="F37" i="9" s="1"/>
  <c r="B19" i="8"/>
  <c r="E35" i="9"/>
  <c r="F35" i="9" s="1"/>
  <c r="D8" i="6"/>
  <c r="D10" i="6"/>
  <c r="C11" i="6"/>
  <c r="C33" i="7"/>
  <c r="C34" i="7" s="1"/>
  <c r="E38" i="9"/>
  <c r="F38" i="9" s="1"/>
  <c r="D50" i="10"/>
  <c r="C56" i="8"/>
  <c r="D11" i="7"/>
  <c r="G20" i="11"/>
  <c r="G21" i="11"/>
  <c r="E11" i="7"/>
  <c r="C54" i="6"/>
  <c r="C7" i="8"/>
  <c r="C26" i="6"/>
  <c r="C35" i="6"/>
  <c r="C48" i="6"/>
  <c r="D57" i="8"/>
  <c r="E51" i="10"/>
  <c r="E33" i="9"/>
  <c r="C38" i="10"/>
  <c r="B47" i="8"/>
  <c r="B51" i="11"/>
  <c r="C51" i="11" s="1"/>
  <c r="G47" i="11"/>
  <c r="B6" i="8"/>
  <c r="B53" i="8"/>
  <c r="B55" i="9"/>
  <c r="C109" i="4"/>
  <c r="B34" i="8"/>
  <c r="C60" i="12"/>
  <c r="D55" i="12"/>
  <c r="H43" i="10"/>
  <c r="C55" i="9" l="1"/>
  <c r="O6" i="8"/>
  <c r="B8" i="8"/>
  <c r="G53" i="8"/>
  <c r="D38" i="10"/>
  <c r="C8" i="8"/>
  <c r="D60" i="12"/>
  <c r="F55" i="12"/>
  <c r="E55" i="12"/>
  <c r="C30" i="6"/>
  <c r="C39" i="6"/>
  <c r="C29" i="6"/>
  <c r="C28" i="6"/>
  <c r="C27" i="6"/>
  <c r="C32" i="6" s="1"/>
  <c r="D6" i="6"/>
  <c r="C12" i="6"/>
  <c r="E50" i="10"/>
  <c r="D56" i="8"/>
  <c r="G47" i="8"/>
  <c r="E56" i="12"/>
  <c r="B44" i="7"/>
  <c r="B47" i="11"/>
  <c r="E34" i="7"/>
  <c r="B62" i="7" s="1"/>
  <c r="E57" i="8"/>
  <c r="G57" i="8" s="1"/>
  <c r="F51" i="10"/>
  <c r="F57" i="8" s="1"/>
  <c r="H51" i="10"/>
  <c r="D17" i="6"/>
  <c r="E9" i="6"/>
  <c r="H42" i="10"/>
  <c r="C17" i="8" l="1"/>
  <c r="C34" i="6"/>
  <c r="E38" i="10"/>
  <c r="F56" i="12"/>
  <c r="C47" i="9"/>
  <c r="D47" i="9" s="1"/>
  <c r="C46" i="9"/>
  <c r="D46" i="9" s="1"/>
  <c r="C49" i="9"/>
  <c r="D49" i="9" s="1"/>
  <c r="C48" i="9"/>
  <c r="D48" i="9" s="1"/>
  <c r="C45" i="9"/>
  <c r="D45" i="9" s="1"/>
  <c r="B45" i="7"/>
  <c r="B55" i="7"/>
  <c r="E60" i="12"/>
  <c r="G55" i="12"/>
  <c r="G56" i="12" s="1"/>
  <c r="B21" i="8"/>
  <c r="E111" i="12"/>
  <c r="F60" i="12"/>
  <c r="E20" i="6"/>
  <c r="E18" i="6"/>
  <c r="E19" i="6"/>
  <c r="D21" i="6"/>
  <c r="F50" i="10"/>
  <c r="F56" i="8" s="1"/>
  <c r="G56" i="8" s="1"/>
  <c r="E56" i="8"/>
  <c r="C45" i="6"/>
  <c r="C44" i="6"/>
  <c r="C13" i="6"/>
  <c r="D31" i="6"/>
  <c r="D40" i="6"/>
  <c r="D7" i="6"/>
  <c r="H50" i="10"/>
  <c r="C18" i="8" l="1"/>
  <c r="C19" i="8" s="1"/>
  <c r="B24" i="8"/>
  <c r="B25" i="8" s="1"/>
  <c r="C23" i="8" s="1"/>
  <c r="B28" i="8"/>
  <c r="F111" i="12"/>
  <c r="G60" i="12"/>
  <c r="F38" i="10"/>
  <c r="C47" i="6"/>
  <c r="D23" i="6"/>
  <c r="B61" i="7"/>
  <c r="B46" i="11"/>
  <c r="E8" i="6"/>
  <c r="E10" i="6"/>
  <c r="D11" i="6"/>
  <c r="B46" i="7"/>
  <c r="B43" i="11"/>
  <c r="B54" i="7"/>
  <c r="C21" i="8" l="1"/>
  <c r="B45" i="11"/>
  <c r="B60" i="7"/>
  <c r="E17" i="6"/>
  <c r="F9" i="6"/>
  <c r="D7" i="8"/>
  <c r="D26" i="6"/>
  <c r="D29" i="6"/>
  <c r="D30" i="6"/>
  <c r="D27" i="6"/>
  <c r="D12" i="6"/>
  <c r="D28" i="6"/>
  <c r="D39" i="6"/>
  <c r="E6" i="6"/>
  <c r="B29" i="8"/>
  <c r="B30" i="8"/>
  <c r="C53" i="6"/>
  <c r="H38" i="10"/>
  <c r="C29" i="8" l="1"/>
  <c r="D8" i="8"/>
  <c r="D32" i="6"/>
  <c r="D44" i="6"/>
  <c r="D45" i="6" s="1"/>
  <c r="C24" i="8"/>
  <c r="C25" i="8" s="1"/>
  <c r="D23" i="8" s="1"/>
  <c r="C28" i="8"/>
  <c r="E40" i="6"/>
  <c r="E31" i="6"/>
  <c r="E7" i="6"/>
  <c r="D13" i="6"/>
  <c r="F20" i="6"/>
  <c r="F19" i="6"/>
  <c r="F18" i="6"/>
  <c r="E21" i="6"/>
  <c r="C56" i="6"/>
  <c r="D18" i="8" l="1"/>
  <c r="F10" i="6"/>
  <c r="E11" i="6"/>
  <c r="F8" i="6"/>
  <c r="D17" i="8"/>
  <c r="D34" i="6"/>
  <c r="E23" i="6"/>
  <c r="C30" i="8"/>
  <c r="D47" i="6" l="1"/>
  <c r="D35" i="6"/>
  <c r="E7" i="8"/>
  <c r="E26" i="6"/>
  <c r="D19" i="8"/>
  <c r="E28" i="6"/>
  <c r="E27" i="6"/>
  <c r="E39" i="6"/>
  <c r="E12" i="6"/>
  <c r="E29" i="6"/>
  <c r="E30" i="6"/>
  <c r="F6" i="6"/>
  <c r="F17" i="6"/>
  <c r="G9" i="6"/>
  <c r="G20" i="6" l="1"/>
  <c r="G19" i="6"/>
  <c r="G18" i="6"/>
  <c r="F40" i="6"/>
  <c r="F31" i="6"/>
  <c r="F7" i="6"/>
  <c r="E8" i="8"/>
  <c r="F21" i="6"/>
  <c r="E13" i="6"/>
  <c r="D21" i="8"/>
  <c r="E32" i="6"/>
  <c r="E44" i="6"/>
  <c r="D53" i="6"/>
  <c r="D48" i="6"/>
  <c r="E45" i="6" l="1"/>
  <c r="E17" i="8"/>
  <c r="E34" i="6"/>
  <c r="F11" i="6"/>
  <c r="G10" i="6"/>
  <c r="G8" i="6"/>
  <c r="F23" i="6"/>
  <c r="D28" i="8"/>
  <c r="D24" i="8"/>
  <c r="D25" i="8" s="1"/>
  <c r="E23" i="8" s="1"/>
  <c r="D54" i="6"/>
  <c r="D56" i="6"/>
  <c r="G17" i="6" l="1"/>
  <c r="H9" i="6"/>
  <c r="F27" i="6"/>
  <c r="F39" i="6"/>
  <c r="F30" i="6"/>
  <c r="F29" i="6"/>
  <c r="F28" i="6"/>
  <c r="F12" i="6"/>
  <c r="G6" i="6"/>
  <c r="F7" i="8"/>
  <c r="F26" i="6"/>
  <c r="E47" i="6"/>
  <c r="E35" i="6"/>
  <c r="E18" i="8"/>
  <c r="D30" i="8"/>
  <c r="D29" i="8"/>
  <c r="E53" i="6" l="1"/>
  <c r="E48" i="6"/>
  <c r="F44" i="6"/>
  <c r="F45" i="6" s="1"/>
  <c r="G40" i="6"/>
  <c r="G31" i="6"/>
  <c r="G7" i="6"/>
  <c r="H20" i="6"/>
  <c r="H19" i="6"/>
  <c r="H18" i="6"/>
  <c r="E19" i="8"/>
  <c r="F13" i="6"/>
  <c r="F32" i="6"/>
  <c r="F8" i="8"/>
  <c r="G21" i="6"/>
  <c r="F18" i="8" l="1"/>
  <c r="G11" i="6"/>
  <c r="H10" i="6"/>
  <c r="H8" i="6"/>
  <c r="G23" i="6"/>
  <c r="F17" i="8"/>
  <c r="F34" i="6"/>
  <c r="E21" i="8"/>
  <c r="E54" i="6"/>
  <c r="E56" i="6"/>
  <c r="F19" i="8" l="1"/>
  <c r="F21" i="8" s="1"/>
  <c r="G26" i="6"/>
  <c r="G7" i="8"/>
  <c r="G39" i="6"/>
  <c r="G30" i="6"/>
  <c r="G29" i="6"/>
  <c r="G28" i="6"/>
  <c r="G27" i="6"/>
  <c r="H6" i="6"/>
  <c r="G12" i="6"/>
  <c r="F47" i="6"/>
  <c r="F35" i="6"/>
  <c r="H17" i="6"/>
  <c r="I9" i="6"/>
  <c r="E28" i="8"/>
  <c r="E24" i="8"/>
  <c r="E25" i="8" s="1"/>
  <c r="F23" i="8" s="1"/>
  <c r="E30" i="8" l="1"/>
  <c r="E29" i="8"/>
  <c r="G44" i="6"/>
  <c r="G45" i="6" s="1"/>
  <c r="G8" i="8"/>
  <c r="G32" i="6"/>
  <c r="F53" i="6"/>
  <c r="F48" i="6"/>
  <c r="H40" i="6"/>
  <c r="H31" i="6"/>
  <c r="H7" i="6"/>
  <c r="F25" i="8"/>
  <c r="G23" i="8" s="1"/>
  <c r="I19" i="6"/>
  <c r="I20" i="6"/>
  <c r="I18" i="6"/>
  <c r="H21" i="6"/>
  <c r="H23" i="6" s="1"/>
  <c r="G13" i="6"/>
  <c r="F24" i="8"/>
  <c r="F28" i="8"/>
  <c r="G18" i="8" l="1"/>
  <c r="F54" i="6"/>
  <c r="F56" i="6"/>
  <c r="I10" i="6"/>
  <c r="H11" i="6"/>
  <c r="I8" i="6"/>
  <c r="H26" i="6"/>
  <c r="H7" i="8"/>
  <c r="H8" i="8" s="1"/>
  <c r="F29" i="8"/>
  <c r="G17" i="8"/>
  <c r="G34" i="6"/>
  <c r="F30" i="8"/>
  <c r="J9" i="6" l="1"/>
  <c r="I17" i="6"/>
  <c r="I21" i="6" s="1"/>
  <c r="I23" i="6" s="1"/>
  <c r="H30" i="6"/>
  <c r="H29" i="6"/>
  <c r="H28" i="6"/>
  <c r="H27" i="6"/>
  <c r="H32" i="6" s="1"/>
  <c r="H12" i="6"/>
  <c r="H13" i="6" s="1"/>
  <c r="I6" i="6"/>
  <c r="H39" i="6"/>
  <c r="G47" i="6"/>
  <c r="G35" i="6"/>
  <c r="G19" i="8"/>
  <c r="G21" i="8" s="1"/>
  <c r="H17" i="8" l="1"/>
  <c r="H34" i="6"/>
  <c r="G53" i="6"/>
  <c r="G48" i="6"/>
  <c r="H44" i="6"/>
  <c r="H45" i="6" s="1"/>
  <c r="H18" i="8" s="1"/>
  <c r="I40" i="6"/>
  <c r="I31" i="6"/>
  <c r="I7" i="6"/>
  <c r="G28" i="8"/>
  <c r="G24" i="8"/>
  <c r="G25" i="8" s="1"/>
  <c r="H23" i="8" s="1"/>
  <c r="I7" i="8"/>
  <c r="I8" i="8" s="1"/>
  <c r="I26" i="6"/>
  <c r="J20" i="6"/>
  <c r="J19" i="6"/>
  <c r="J18" i="6"/>
  <c r="J10" i="6" l="1"/>
  <c r="I11" i="6"/>
  <c r="J8" i="6"/>
  <c r="G30" i="8"/>
  <c r="G29" i="8"/>
  <c r="G54" i="6"/>
  <c r="G56" i="6"/>
  <c r="H47" i="6"/>
  <c r="H35" i="6"/>
  <c r="H19" i="8"/>
  <c r="H21" i="8" s="1"/>
  <c r="K9" i="6" l="1"/>
  <c r="J17" i="6"/>
  <c r="J21" i="6" s="1"/>
  <c r="J23" i="6" s="1"/>
  <c r="H24" i="8"/>
  <c r="H25" i="8" s="1"/>
  <c r="I23" i="8" s="1"/>
  <c r="H28" i="8"/>
  <c r="H30" i="8" s="1"/>
  <c r="H56" i="6"/>
  <c r="H29" i="8"/>
  <c r="I39" i="6"/>
  <c r="I12" i="6"/>
  <c r="I13" i="6" s="1"/>
  <c r="I30" i="6"/>
  <c r="I29" i="6"/>
  <c r="I28" i="6"/>
  <c r="I27" i="6"/>
  <c r="J6" i="6"/>
  <c r="H53" i="6"/>
  <c r="H54" i="6" s="1"/>
  <c r="H48" i="6"/>
  <c r="J7" i="8" l="1"/>
  <c r="J8" i="8" s="1"/>
  <c r="J26" i="6"/>
  <c r="I32" i="6"/>
  <c r="I44" i="6"/>
  <c r="I45" i="6" s="1"/>
  <c r="I18" i="8" s="1"/>
  <c r="J7" i="6"/>
  <c r="J40" i="6"/>
  <c r="J31" i="6"/>
  <c r="K19" i="6"/>
  <c r="K20" i="6"/>
  <c r="K18" i="6"/>
  <c r="I17" i="8" l="1"/>
  <c r="I19" i="8" s="1"/>
  <c r="I21" i="8" s="1"/>
  <c r="I34" i="6"/>
  <c r="J11" i="6"/>
  <c r="K10" i="6"/>
  <c r="K8" i="6"/>
  <c r="L9" i="6" l="1"/>
  <c r="K17" i="6"/>
  <c r="K21" i="6" s="1"/>
  <c r="K23" i="6" s="1"/>
  <c r="J12" i="6"/>
  <c r="J13" i="6" s="1"/>
  <c r="K6" i="6"/>
  <c r="J29" i="6"/>
  <c r="J28" i="6"/>
  <c r="J39" i="6"/>
  <c r="J30" i="6"/>
  <c r="J27" i="6"/>
  <c r="J32" i="6" s="1"/>
  <c r="I47" i="6"/>
  <c r="I35" i="6"/>
  <c r="I24" i="8"/>
  <c r="I25" i="8" s="1"/>
  <c r="J23" i="8" s="1"/>
  <c r="I28" i="8"/>
  <c r="J44" i="6" l="1"/>
  <c r="J45" i="6" s="1"/>
  <c r="J18" i="8" s="1"/>
  <c r="J17" i="8"/>
  <c r="J34" i="6"/>
  <c r="I53" i="6"/>
  <c r="I48" i="6"/>
  <c r="K7" i="6"/>
  <c r="K40" i="6"/>
  <c r="K31" i="6"/>
  <c r="K7" i="8"/>
  <c r="K8" i="8" s="1"/>
  <c r="K26" i="6"/>
  <c r="I30" i="8"/>
  <c r="I29" i="8"/>
  <c r="L18" i="6"/>
  <c r="L19" i="6"/>
  <c r="L20" i="6"/>
  <c r="J19" i="8" l="1"/>
  <c r="J21" i="8" s="1"/>
  <c r="I54" i="6"/>
  <c r="I56" i="6"/>
  <c r="J47" i="6"/>
  <c r="J35" i="6"/>
  <c r="K11" i="6"/>
  <c r="L10" i="6"/>
  <c r="L8" i="6"/>
  <c r="M9" i="6" l="1"/>
  <c r="L17" i="6"/>
  <c r="L21" i="6" s="1"/>
  <c r="L23" i="6" s="1"/>
  <c r="L6" i="6"/>
  <c r="K39" i="6"/>
  <c r="K30" i="6"/>
  <c r="K29" i="6"/>
  <c r="K28" i="6"/>
  <c r="K27" i="6"/>
  <c r="K32" i="6" s="1"/>
  <c r="K12" i="6"/>
  <c r="K13" i="6" s="1"/>
  <c r="J53" i="6"/>
  <c r="J54" i="6" s="1"/>
  <c r="J48" i="6"/>
  <c r="J56" i="6"/>
  <c r="J28" i="8"/>
  <c r="J24" i="8"/>
  <c r="J25" i="8" s="1"/>
  <c r="K23" i="8" s="1"/>
  <c r="K17" i="8" l="1"/>
  <c r="K34" i="6"/>
  <c r="L7" i="6"/>
  <c r="L40" i="6"/>
  <c r="L31" i="6"/>
  <c r="L7" i="8"/>
  <c r="L8" i="8" s="1"/>
  <c r="L26" i="6"/>
  <c r="K44" i="6"/>
  <c r="K45" i="6" s="1"/>
  <c r="K18" i="8" s="1"/>
  <c r="J30" i="8"/>
  <c r="J29" i="8"/>
  <c r="M20" i="6"/>
  <c r="M18" i="6"/>
  <c r="M19" i="6"/>
  <c r="K47" i="6" l="1"/>
  <c r="K35" i="6"/>
  <c r="L11" i="6"/>
  <c r="M10" i="6"/>
  <c r="M8" i="6"/>
  <c r="K19" i="8"/>
  <c r="K21" i="8" s="1"/>
  <c r="K28" i="8" l="1"/>
  <c r="K24" i="8"/>
  <c r="K25" i="8" s="1"/>
  <c r="L23" i="8" s="1"/>
  <c r="M17" i="6"/>
  <c r="M21" i="6" s="1"/>
  <c r="M23" i="6" s="1"/>
  <c r="N9" i="6"/>
  <c r="M6" i="6"/>
  <c r="L29" i="6"/>
  <c r="L12" i="6"/>
  <c r="L13" i="6" s="1"/>
  <c r="L28" i="6"/>
  <c r="L39" i="6"/>
  <c r="L30" i="6"/>
  <c r="L27" i="6"/>
  <c r="L32" i="6" s="1"/>
  <c r="K53" i="6"/>
  <c r="K48" i="6"/>
  <c r="K54" i="6" l="1"/>
  <c r="K56" i="6"/>
  <c r="L44" i="6"/>
  <c r="L45" i="6"/>
  <c r="L18" i="8" s="1"/>
  <c r="M7" i="8"/>
  <c r="M8" i="8" s="1"/>
  <c r="M26" i="6"/>
  <c r="M7" i="6"/>
  <c r="M40" i="6"/>
  <c r="M31" i="6"/>
  <c r="L17" i="8"/>
  <c r="L34" i="6"/>
  <c r="O9" i="6"/>
  <c r="N20" i="6"/>
  <c r="O20" i="6" s="1"/>
  <c r="N18" i="6"/>
  <c r="O18" i="6" s="1"/>
  <c r="N19" i="6"/>
  <c r="O19" i="6" s="1"/>
  <c r="K30" i="8"/>
  <c r="K29" i="8"/>
  <c r="M11" i="6" l="1"/>
  <c r="N8" i="6"/>
  <c r="N10" i="6"/>
  <c r="O10" i="6" s="1"/>
  <c r="L47" i="6"/>
  <c r="L35" i="6"/>
  <c r="L19" i="8"/>
  <c r="L21" i="8" s="1"/>
  <c r="L28" i="8" l="1"/>
  <c r="L24" i="8"/>
  <c r="L25" i="8" s="1"/>
  <c r="M23" i="8" s="1"/>
  <c r="O8" i="6"/>
  <c r="N17" i="6"/>
  <c r="L53" i="6"/>
  <c r="L48" i="6"/>
  <c r="M12" i="6"/>
  <c r="M13" i="6" s="1"/>
  <c r="N6" i="6"/>
  <c r="M28" i="6"/>
  <c r="M27" i="6"/>
  <c r="M39" i="6"/>
  <c r="M30" i="6"/>
  <c r="M29" i="6"/>
  <c r="M44" i="6" l="1"/>
  <c r="M45" i="6" s="1"/>
  <c r="M18" i="8" s="1"/>
  <c r="L54" i="6"/>
  <c r="L56" i="6"/>
  <c r="N31" i="6"/>
  <c r="O31" i="6" s="1"/>
  <c r="B31" i="10" s="1"/>
  <c r="N7" i="6"/>
  <c r="N40" i="6"/>
  <c r="O40" i="6" s="1"/>
  <c r="B40" i="10" s="1"/>
  <c r="O6" i="6"/>
  <c r="B15" i="10" s="1"/>
  <c r="N21" i="6"/>
  <c r="O17" i="6"/>
  <c r="M32" i="6"/>
  <c r="L30" i="8"/>
  <c r="L29" i="8"/>
  <c r="M17" i="8" l="1"/>
  <c r="M19" i="8" s="1"/>
  <c r="M21" i="8" s="1"/>
  <c r="M34" i="6"/>
  <c r="N23" i="6"/>
  <c r="O21" i="6"/>
  <c r="N11" i="6"/>
  <c r="O7" i="6"/>
  <c r="C40" i="10"/>
  <c r="D40" i="10" s="1"/>
  <c r="E40" i="10" s="1"/>
  <c r="F40" i="10" s="1"/>
  <c r="H40" i="10" l="1"/>
  <c r="N7" i="8"/>
  <c r="N26" i="6"/>
  <c r="O23" i="6"/>
  <c r="B14" i="10"/>
  <c r="B19" i="9"/>
  <c r="D19" i="9" s="1"/>
  <c r="B8" i="9"/>
  <c r="N12" i="6"/>
  <c r="N28" i="6"/>
  <c r="O28" i="6" s="1"/>
  <c r="N39" i="6"/>
  <c r="N30" i="6"/>
  <c r="O30" i="6" s="1"/>
  <c r="O11" i="6"/>
  <c r="N27" i="6"/>
  <c r="O27" i="6" s="1"/>
  <c r="B29" i="10" s="1"/>
  <c r="N29" i="6"/>
  <c r="O29" i="6" s="1"/>
  <c r="M24" i="8"/>
  <c r="M25" i="8" s="1"/>
  <c r="N23" i="8" s="1"/>
  <c r="M28" i="8"/>
  <c r="M47" i="6"/>
  <c r="M35" i="6"/>
  <c r="B21" i="10" l="1"/>
  <c r="B20" i="9"/>
  <c r="C14" i="10"/>
  <c r="C15" i="10" s="1"/>
  <c r="B34" i="11"/>
  <c r="N32" i="6"/>
  <c r="O26" i="6"/>
  <c r="B28" i="10" s="1"/>
  <c r="N8" i="8"/>
  <c r="O7" i="8"/>
  <c r="E34" i="8" s="1"/>
  <c r="N44" i="6"/>
  <c r="O44" i="6" s="1"/>
  <c r="O39" i="6"/>
  <c r="B39" i="10" s="1"/>
  <c r="N13" i="6"/>
  <c r="O13" i="6" s="1"/>
  <c r="O12" i="6"/>
  <c r="M53" i="6"/>
  <c r="M48" i="6"/>
  <c r="M30" i="8"/>
  <c r="M29" i="8"/>
  <c r="B30" i="10"/>
  <c r="C21" i="10" l="1"/>
  <c r="C29" i="10"/>
  <c r="C22" i="10"/>
  <c r="C30" i="10"/>
  <c r="O8" i="8"/>
  <c r="C39" i="10"/>
  <c r="B32" i="10"/>
  <c r="N17" i="8"/>
  <c r="O32" i="6"/>
  <c r="N34" i="6"/>
  <c r="M54" i="6"/>
  <c r="M56" i="6"/>
  <c r="N45" i="6"/>
  <c r="D14" i="10"/>
  <c r="C34" i="11"/>
  <c r="C31" i="10"/>
  <c r="D15" i="10"/>
  <c r="D20" i="9"/>
  <c r="E27" i="9"/>
  <c r="E28" i="9" s="1"/>
  <c r="D27" i="9"/>
  <c r="C27" i="9"/>
  <c r="C28" i="9" s="1"/>
  <c r="B27" i="9"/>
  <c r="B28" i="9" s="1"/>
  <c r="F27" i="9"/>
  <c r="F28" i="9" s="1"/>
  <c r="B26" i="13"/>
  <c r="B23" i="10"/>
  <c r="B48" i="8"/>
  <c r="B50" i="8" l="1"/>
  <c r="D39" i="10"/>
  <c r="C45" i="10"/>
  <c r="C55" i="8" s="1"/>
  <c r="D21" i="10"/>
  <c r="D29" i="10"/>
  <c r="D22" i="10"/>
  <c r="E14" i="10"/>
  <c r="D34" i="11"/>
  <c r="D31" i="10"/>
  <c r="E15" i="10"/>
  <c r="N18" i="8"/>
  <c r="O18" i="8" s="1"/>
  <c r="O45" i="6"/>
  <c r="B44" i="10" s="1"/>
  <c r="N47" i="6"/>
  <c r="O34" i="6"/>
  <c r="O35" i="6" s="1"/>
  <c r="N35" i="6"/>
  <c r="B34" i="10"/>
  <c r="B35" i="11"/>
  <c r="B75" i="10"/>
  <c r="D75" i="10" s="1"/>
  <c r="B59" i="10"/>
  <c r="D26" i="13"/>
  <c r="E26" i="13" s="1"/>
  <c r="B58" i="10"/>
  <c r="C27" i="13"/>
  <c r="C49" i="8"/>
  <c r="O17" i="8"/>
  <c r="D30" i="10"/>
  <c r="B54" i="8"/>
  <c r="C23" i="10"/>
  <c r="B27" i="13"/>
  <c r="C48" i="8"/>
  <c r="E34" i="11" l="1"/>
  <c r="E31" i="10"/>
  <c r="F14" i="10"/>
  <c r="D49" i="8"/>
  <c r="C28" i="13"/>
  <c r="D23" i="10"/>
  <c r="B28" i="13"/>
  <c r="D48" i="8"/>
  <c r="D27" i="13"/>
  <c r="E27" i="13" s="1"/>
  <c r="C60" i="10"/>
  <c r="C35" i="11"/>
  <c r="C61" i="10"/>
  <c r="C24" i="10"/>
  <c r="C28" i="10"/>
  <c r="C58" i="10"/>
  <c r="N53" i="6"/>
  <c r="O47" i="6"/>
  <c r="O48" i="6" s="1"/>
  <c r="N48" i="6"/>
  <c r="C50" i="8"/>
  <c r="H44" i="10"/>
  <c r="B45" i="10"/>
  <c r="E39" i="10"/>
  <c r="D45" i="10"/>
  <c r="D55" i="8" s="1"/>
  <c r="B35" i="10"/>
  <c r="E30" i="10"/>
  <c r="E21" i="10"/>
  <c r="E29" i="10"/>
  <c r="E22" i="10"/>
  <c r="N19" i="8"/>
  <c r="C29" i="13" l="1"/>
  <c r="E49" i="8"/>
  <c r="D60" i="10"/>
  <c r="D35" i="11"/>
  <c r="D61" i="10"/>
  <c r="D24" i="10"/>
  <c r="D28" i="13"/>
  <c r="E28" i="13" s="1"/>
  <c r="D59" i="10"/>
  <c r="D28" i="10"/>
  <c r="D32" i="10" s="1"/>
  <c r="D54" i="8" s="1"/>
  <c r="D58" i="8" s="1"/>
  <c r="D58" i="10"/>
  <c r="B55" i="8"/>
  <c r="B60" i="10"/>
  <c r="B47" i="10"/>
  <c r="F39" i="10"/>
  <c r="F45" i="10" s="1"/>
  <c r="F55" i="8" s="1"/>
  <c r="E45" i="10"/>
  <c r="E55" i="8" s="1"/>
  <c r="H39" i="10"/>
  <c r="E23" i="10"/>
  <c r="E48" i="8"/>
  <c r="B29" i="13"/>
  <c r="G14" i="10"/>
  <c r="F34" i="11"/>
  <c r="F31" i="10"/>
  <c r="H31" i="10" s="1"/>
  <c r="F15" i="10"/>
  <c r="O53" i="6"/>
  <c r="N54" i="6"/>
  <c r="N56" i="6"/>
  <c r="O56" i="6" s="1"/>
  <c r="O19" i="8"/>
  <c r="E35" i="8" s="1"/>
  <c r="N21" i="8"/>
  <c r="C32" i="10"/>
  <c r="D50" i="8"/>
  <c r="B74" i="10" l="1"/>
  <c r="D74" i="10" s="1"/>
  <c r="F21" i="10"/>
  <c r="F29" i="10"/>
  <c r="H29" i="10" s="1"/>
  <c r="F22" i="10"/>
  <c r="D60" i="8"/>
  <c r="D63" i="8" s="1"/>
  <c r="E35" i="11"/>
  <c r="E28" i="10"/>
  <c r="E32" i="10" s="1"/>
  <c r="E54" i="8" s="1"/>
  <c r="E58" i="8" s="1"/>
  <c r="E61" i="10"/>
  <c r="E24" i="10"/>
  <c r="D29" i="13"/>
  <c r="E29" i="13" s="1"/>
  <c r="E60" i="10"/>
  <c r="E58" i="10"/>
  <c r="B36" i="11"/>
  <c r="B53" i="10"/>
  <c r="B66" i="8"/>
  <c r="B48" i="10"/>
  <c r="B38" i="11" s="1"/>
  <c r="C54" i="8"/>
  <c r="C34" i="10"/>
  <c r="C59" i="10"/>
  <c r="H45" i="10"/>
  <c r="N24" i="8"/>
  <c r="N25" i="8" s="1"/>
  <c r="N28" i="8"/>
  <c r="O21" i="8"/>
  <c r="F30" i="10"/>
  <c r="H30" i="10" s="1"/>
  <c r="G55" i="8"/>
  <c r="B58" i="8"/>
  <c r="B21" i="9"/>
  <c r="D21" i="9" s="1"/>
  <c r="B56" i="9"/>
  <c r="O54" i="6"/>
  <c r="E50" i="8"/>
  <c r="D34" i="10"/>
  <c r="B55" i="10" l="1"/>
  <c r="B37" i="11"/>
  <c r="B52" i="11"/>
  <c r="B54" i="10"/>
  <c r="D47" i="10"/>
  <c r="D35" i="10"/>
  <c r="E60" i="8"/>
  <c r="E63" i="8" s="1"/>
  <c r="B57" i="9"/>
  <c r="C56" i="9"/>
  <c r="N30" i="8"/>
  <c r="E36" i="8"/>
  <c r="B36" i="8"/>
  <c r="N29" i="8"/>
  <c r="O29" i="8" s="1"/>
  <c r="E34" i="10"/>
  <c r="E59" i="10"/>
  <c r="C58" i="8"/>
  <c r="C60" i="8" s="1"/>
  <c r="C63" i="8" s="1"/>
  <c r="F23" i="10"/>
  <c r="F48" i="8"/>
  <c r="B30" i="13"/>
  <c r="E22" i="13"/>
  <c r="H21" i="10"/>
  <c r="B67" i="8"/>
  <c r="B38" i="8"/>
  <c r="E38" i="8" s="1"/>
  <c r="O25" i="8"/>
  <c r="B35" i="8"/>
  <c r="O28" i="8"/>
  <c r="C47" i="10"/>
  <c r="C35" i="10"/>
  <c r="C30" i="13"/>
  <c r="F49" i="8"/>
  <c r="G49" i="8" s="1"/>
  <c r="H22" i="10"/>
  <c r="B60" i="8"/>
  <c r="E39" i="8" l="1"/>
  <c r="B39" i="8"/>
  <c r="C36" i="11"/>
  <c r="C53" i="10"/>
  <c r="C66" i="8"/>
  <c r="C48" i="10"/>
  <c r="C38" i="11" s="1"/>
  <c r="B63" i="8"/>
  <c r="B64" i="8" s="1"/>
  <c r="D30" i="13"/>
  <c r="E30" i="13" s="1"/>
  <c r="F35" i="11"/>
  <c r="B68" i="10"/>
  <c r="G45" i="11" s="1"/>
  <c r="F28" i="10"/>
  <c r="F60" i="10"/>
  <c r="B76" i="10"/>
  <c r="D76" i="10" s="1"/>
  <c r="G23" i="10"/>
  <c r="F61" i="10"/>
  <c r="F24" i="10"/>
  <c r="F58" i="10"/>
  <c r="H23" i="10"/>
  <c r="B66" i="10" s="1"/>
  <c r="E47" i="10"/>
  <c r="E35" i="10"/>
  <c r="D66" i="8"/>
  <c r="D67" i="8" s="1"/>
  <c r="D36" i="11"/>
  <c r="D53" i="10"/>
  <c r="D48" i="10"/>
  <c r="D38" i="11" s="1"/>
  <c r="B53" i="11"/>
  <c r="C53" i="11" s="1"/>
  <c r="C52" i="11"/>
  <c r="B39" i="11"/>
  <c r="C55" i="10"/>
  <c r="F50" i="8"/>
  <c r="G48" i="8"/>
  <c r="C57" i="9"/>
  <c r="B58" i="9"/>
  <c r="C39" i="11" l="1"/>
  <c r="D55" i="10"/>
  <c r="C62" i="8"/>
  <c r="C64" i="8" s="1"/>
  <c r="D62" i="8" s="1"/>
  <c r="D64" i="8" s="1"/>
  <c r="E62" i="8" s="1"/>
  <c r="E64" i="8" s="1"/>
  <c r="F62" i="8" s="1"/>
  <c r="D37" i="11"/>
  <c r="D54" i="10"/>
  <c r="C67" i="8"/>
  <c r="C37" i="11"/>
  <c r="C54" i="10"/>
  <c r="B62" i="10"/>
  <c r="G43" i="11" s="1"/>
  <c r="B59" i="9"/>
  <c r="C58" i="9"/>
  <c r="G50" i="8"/>
  <c r="E53" i="10"/>
  <c r="E66" i="8"/>
  <c r="E67" i="8" s="1"/>
  <c r="E36" i="11"/>
  <c r="E48" i="10"/>
  <c r="E38" i="11" s="1"/>
  <c r="F32" i="10"/>
  <c r="H28" i="10"/>
  <c r="F54" i="8" l="1"/>
  <c r="H32" i="10"/>
  <c r="F59" i="10"/>
  <c r="F34" i="10"/>
  <c r="E37" i="11"/>
  <c r="E54" i="10"/>
  <c r="E55" i="10"/>
  <c r="D39" i="11"/>
  <c r="B63" i="10"/>
  <c r="G44" i="11" s="1"/>
  <c r="B68" i="8"/>
  <c r="C59" i="9"/>
  <c r="B60" i="9"/>
  <c r="E39" i="11" l="1"/>
  <c r="F58" i="8"/>
  <c r="G54" i="8"/>
  <c r="F47" i="10"/>
  <c r="H34" i="10"/>
  <c r="F35" i="10"/>
  <c r="F53" i="10" l="1"/>
  <c r="F66" i="8"/>
  <c r="F36" i="11"/>
  <c r="H47" i="10"/>
  <c r="F48" i="10"/>
  <c r="F38" i="11" s="1"/>
  <c r="G58" i="8"/>
  <c r="F60" i="8"/>
  <c r="F63" i="8" l="1"/>
  <c r="F64" i="8" s="1"/>
  <c r="G64" i="8" s="1"/>
  <c r="G60" i="8"/>
  <c r="F67" i="8"/>
  <c r="G66" i="8"/>
  <c r="F37" i="11"/>
  <c r="F54" i="10"/>
  <c r="H53" i="10"/>
  <c r="B67" i="10" s="1"/>
  <c r="G46" i="11" s="1"/>
  <c r="F55" i="10"/>
  <c r="H55" i="10" l="1"/>
  <c r="F39" i="11"/>
</calcChain>
</file>

<file path=xl/sharedStrings.xml><?xml version="1.0" encoding="utf-8"?>
<sst xmlns="http://schemas.openxmlformats.org/spreadsheetml/2006/main" count="1860" uniqueCount="1420">
  <si>
    <t>WASEL — REVISED MODEL PIPELINE</t>
  </si>
  <si>
    <t>9 Structured fixes addressing adversarial analysis | All figures JOD unless noted</t>
  </si>
  <si>
    <t>#</t>
  </si>
  <si>
    <t>Fix Applied</t>
  </si>
  <si>
    <t>Before</t>
  </si>
  <si>
    <t>After (Revised)</t>
  </si>
  <si>
    <t>Year 1 Net Impact</t>
  </si>
  <si>
    <t>Bank Guarantee (LTRC confirmed JD 25K, not JD 50K)</t>
  </si>
  <si>
    <t>JD 50,000 locked</t>
  </si>
  <si>
    <t>JD 25,000 locked</t>
  </si>
  <si>
    <t>+JD 25,000 freed capital</t>
  </si>
  <si>
    <t>Starter Tier trip soft-cap raised 6→8 trips/day</t>
  </si>
  <si>
    <t>Driver net: JD 20/mo</t>
  </si>
  <si>
    <t>Driver net: JD 123/mo</t>
  </si>
  <si>
    <t>Viability restored; churn ↓</t>
  </si>
  <si>
    <t>Fare adjusted to JD 2.37 (5% below Uber/Careem)</t>
  </si>
  <si>
    <t>JD 2.50/trip</t>
  </si>
  <si>
    <t>JD 2.37/trip</t>
  </si>
  <si>
    <t>Rider acquisition ↑; driver GMV maintained via higher trip cap</t>
  </si>
  <si>
    <t>Rider marketing — phased spend (see Rider Economics sheet)</t>
  </si>
  <si>
    <t>JD 3,000/mo flat</t>
  </si>
  <si>
    <t>JD 12K / 8K / 5K by phase</t>
  </si>
  <si>
    <t>−JD 54,000 additional spend</t>
  </si>
  <si>
    <t>Rider subscription revenue (NEW: Wasel Go + Wasel Pass)</t>
  </si>
  <si>
    <t>JD 0</t>
  </si>
  <si>
    <t>~JD 130K Year 1</t>
  </si>
  <si>
    <t>+JD 130K new revenue</t>
  </si>
  <si>
    <t>Boycott tailwind — 1.25× rider acquisition efficiency</t>
  </si>
  <si>
    <t>Not modelled</t>
  </si>
  <si>
    <t>Modelled explicitly</t>
  </si>
  <si>
    <t>Same spend → 25% more riders</t>
  </si>
  <si>
    <t>OPEX variance decomposed (JD 404K → real line items)</t>
  </si>
  <si>
    <t>Single opaque line</t>
  </si>
  <si>
    <t>8 explicit buckets + Y2 tail</t>
  </si>
  <si>
    <t>Investor credibility ↑</t>
  </si>
  <si>
    <t>Driver growth rate revised to 28% MoM (was 30%)</t>
  </si>
  <si>
    <t>30% MoM assumed, unvalidated</t>
  </si>
  <si>
    <t>28% MoM demand-justified</t>
  </si>
  <si>
    <t>Model defensibility ↑</t>
  </si>
  <si>
    <t>Rider Economics sheet added (full 12-month demand model)</t>
  </si>
  <si>
    <t>Full 12-month rider model</t>
  </si>
  <si>
    <t>2nd revenue pillar in Y1</t>
  </si>
  <si>
    <t>YEAR 1 P&amp;L DELTA — BASE vs. REVISED MODEL</t>
  </si>
  <si>
    <t>Line Item</t>
  </si>
  <si>
    <t>Base Model (JOD)</t>
  </si>
  <si>
    <t>Revised Model (JOD)</t>
  </si>
  <si>
    <t>Delta</t>
  </si>
  <si>
    <t>Driver Subscription Revenue</t>
  </si>
  <si>
    <t>Rider Subscription Revenue (NEW)</t>
  </si>
  <si>
    <t>+JD 130,000</t>
  </si>
  <si>
    <t>Total Revenue</t>
  </si>
  <si>
    <t>Cost of Revenue</t>
  </si>
  <si>
    <t>Unchanged</t>
  </si>
  <si>
    <t>Gross Profit</t>
  </si>
  <si>
    <t xml:space="preserve">  Gross Margin %</t>
  </si>
  <si>
    <t>11.5%</t>
  </si>
  <si>
    <t>51.6%</t>
  </si>
  <si>
    <t>↑ 40pp</t>
  </si>
  <si>
    <t>Total Operating Expenses</t>
  </si>
  <si>
    <t xml:space="preserve">  Additional Rider Marketing Spend</t>
  </si>
  <si>
    <t>−JD 54,000</t>
  </si>
  <si>
    <t>Adjusted EBITDA</t>
  </si>
  <si>
    <t>+JD 76,000</t>
  </si>
  <si>
    <t>Net Loss (Year 1)</t>
  </si>
  <si>
    <t>+JD 74,000</t>
  </si>
  <si>
    <t>Capital Freed (bank guarantee fix)</t>
  </si>
  <si>
    <t>+JD 25,000</t>
  </si>
  <si>
    <t>Effective Funding Gap (revised)</t>
  </si>
  <si>
    <t>Recommended Raise (with 30% buffer)</t>
  </si>
  <si>
    <t>−JD 96,000</t>
  </si>
  <si>
    <t>WASEL — RIDER ECONOMICS &amp; DEMAND-SIDE MODEL</t>
  </si>
  <si>
    <t>Revised model integrating boycott tailwind, rider tier subscriptions, and phased marketing spend | JOD</t>
  </si>
  <si>
    <t>BOYCOTT TAILWIND ANALYSIS</t>
  </si>
  <si>
    <t>Factor</t>
  </si>
  <si>
    <t>Detail</t>
  </si>
  <si>
    <t>Evidence / Source</t>
  </si>
  <si>
    <t>Trigger</t>
  </si>
  <si>
    <t>Uber invested $30M+ in Israeli drone firm Flytrex (Sep 2025)</t>
  </si>
  <si>
    <t>Middle East Monitor, Business &amp; Human Rights Resource Centre</t>
  </si>
  <si>
    <t>Careem exposure</t>
  </si>
  <si>
    <t>100% Uber-owned — same reputational contagion applies</t>
  </si>
  <si>
    <t>Wikipedia / Uber newsroom</t>
  </si>
  <si>
    <t>Jordan sentiment</t>
  </si>
  <si>
    <t>Strong pro-Palestine consumer activism; prior #boycottUberandCareem campaigns</t>
  </si>
  <si>
    <t>Arabian Business; IAATW worker pledges</t>
  </si>
  <si>
    <t>Market gap</t>
  </si>
  <si>
    <t>Only 4 licensed operators; Uber + Careem hold 11,600 of 11,600 vehicles</t>
  </si>
  <si>
    <t>Jordan News, Dec 2024</t>
  </si>
  <si>
    <t>Acquisition multiplier</t>
  </si>
  <si>
    <t>1.25× — same JOD spend captures 25% more riders vs. neutral market</t>
  </si>
  <si>
    <t>Conservative BDS-driven organic lift estimate</t>
  </si>
  <si>
    <t>Driver switching tailwind</t>
  </si>
  <si>
    <t>Drivers want to 'work Jordanian'; reduces effective driver CAC by 10–15%</t>
  </si>
  <si>
    <t>Qualitative; consistent with Careem's original Arab growth story</t>
  </si>
  <si>
    <t>RIDER TIER STRUCTURE (JORDAN-OPTIMISED)</t>
  </si>
  <si>
    <t>Tier</t>
  </si>
  <si>
    <t>Monthly Fee (JOD)</t>
  </si>
  <si>
    <t>Fare Discount</t>
  </si>
  <si>
    <t>Cancellations</t>
  </si>
  <si>
    <t>Surge Protection</t>
  </si>
  <si>
    <t>Break-even Rides/Mo</t>
  </si>
  <si>
    <t>Target Segment</t>
  </si>
  <si>
    <t>Standard (Free)</t>
  </si>
  <si>
    <t>None</t>
  </si>
  <si>
    <t>2 free</t>
  </si>
  <si>
    <t>No</t>
  </si>
  <si>
    <t>N/A</t>
  </si>
  <si>
    <t>Occasional, cash-preferring users</t>
  </si>
  <si>
    <t>Wasel Go — JD 5/mo</t>
  </si>
  <si>
    <t>JD 5</t>
  </si>
  <si>
    <t>10% off all rides</t>
  </si>
  <si>
    <t>6 free</t>
  </si>
  <si>
    <t>Capped at JD 2.00 surcharge</t>
  </si>
  <si>
    <t>21 rides (JD 0.237/ride savings)</t>
  </si>
  <si>
    <t>Regular commuters, university students, 3×/week users</t>
  </si>
  <si>
    <t>Wasel Pass — JD 10/mo</t>
  </si>
  <si>
    <t>JD 10</t>
  </si>
  <si>
    <t>18% off + 2 free rides/mo (JD 4.74 value)</t>
  </si>
  <si>
    <t>Unlimited</t>
  </si>
  <si>
    <t>No surge pricing</t>
  </si>
  <si>
    <t>12 rides</t>
  </si>
  <si>
    <t>Daily commuters, corporate users, road-warriors</t>
  </si>
  <si>
    <t>MONTHLY RIDER ACQUISITION &amp; SUBSCRIPTION REVENUE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</si>
  <si>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</si>
  <si>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</si>
  <si>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</si>
  <si>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</si>
  <si>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</si>
  <si>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</si>
  <si>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</si>
  <si>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</si>
  <si>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</si>
  <si>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</si>
  <si>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</si>
  <si>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</si>
  <si>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Year 1 Total</t>
  </si>
  <si>
    <t>New Riders Acquired (Base)</t>
  </si>
  <si>
    <t>Boycott Efficiency Multiplier</t>
  </si>
  <si>
    <t>—</t>
  </si>
  <si>
    <t>Effective New Riders (adj.)</t>
  </si>
  <si>
    <t>Total Active Rider Base (EoM)</t>
  </si>
  <si>
    <t>196,008 cumulative</t>
  </si>
  <si>
    <t xml:space="preserve">  — Standard (free, 85%)</t>
  </si>
  <si>
    <t>166,608 cumulative</t>
  </si>
  <si>
    <t xml:space="preserve">  — Wasel Go (paid, 10%)</t>
  </si>
  <si>
    <t>19,600 cumulative</t>
  </si>
  <si>
    <t xml:space="preserve">  — Wasel Pass (paid, 5%)</t>
  </si>
  <si>
    <t>9,800 cumulative</t>
  </si>
  <si>
    <t>Rider Marketing Spend (JOD)</t>
  </si>
  <si>
    <t>Cost per Rider — Effective (JOD)</t>
  </si>
  <si>
    <t>Wasel Go Revenue (JOD)</t>
  </si>
  <si>
    <t>Wasel Pass Revenue (JOD)</t>
  </si>
  <si>
    <t>Total Rider Subscription Revenue</t>
  </si>
  <si>
    <t>RIDER DEMAND vs. DRIVER CAPACITY VALIDATION</t>
  </si>
  <si>
    <t>Metric</t>
  </si>
  <si>
    <t>Month 6</t>
  </si>
  <si>
    <t>Month 9</t>
  </si>
  <si>
    <t>Month 12</t>
  </si>
  <si>
    <t>Notes</t>
  </si>
  <si>
    <t>Active Riders (EoM)</t>
  </si>
  <si>
    <t>With 1.25× boycott multiplier applied</t>
  </si>
  <si>
    <t>Avg Rides per Rider per Month</t>
  </si>
  <si>
    <t>Blended: 60% light/4 rides, 30% regular/12, 10% heavy/25</t>
  </si>
  <si>
    <t>Total Demand-Side Rides</t>
  </si>
  <si>
    <t>Rides that riders want to take</t>
  </si>
  <si>
    <t>Total Supply-Side Rides</t>
  </si>
  <si>
    <t>Driver capacity × trips/day (from Monthly P&amp;L)</t>
  </si>
  <si>
    <t>Demand Coverage %</t>
  </si>
  <si>
    <t>118%</t>
  </si>
  <si>
    <t>95%</t>
  </si>
  <si>
    <t>68%</t>
  </si>
  <si>
    <t>⚠ At M12: accelerate rider acquisition to 40K to reach 100%</t>
  </si>
  <si>
    <t>OPEX VARIANCE DECOMPOSITION (JD 403,880 → Real Line Items)</t>
  </si>
  <si>
    <t>Y1 Amount (JOD)</t>
  </si>
  <si>
    <t>Y2 Tail (15%)</t>
  </si>
  <si>
    <t>Y3 Tail (5%)</t>
  </si>
  <si>
    <t>Type</t>
  </si>
  <si>
    <t>Rationale</t>
  </si>
  <si>
    <t>Legal / regulatory dispute reserves</t>
  </si>
  <si>
    <t>One-time + tail</t>
  </si>
  <si>
    <t>LTRC challenges, driver disputes, IP filings</t>
  </si>
  <si>
    <t>Technology rebuild / MVP v2</t>
  </si>
  <si>
    <t>Post-launch rebuild from real user feedback</t>
  </si>
  <si>
    <t>Regulatory compliance contingency</t>
  </si>
  <si>
    <t>Annual + tail</t>
  </si>
  <si>
    <t>LTRC annual audit, data compliance, permit battles</t>
  </si>
  <si>
    <t>Launch friction / operational delays</t>
  </si>
  <si>
    <t>One-time</t>
  </si>
  <si>
    <t>Delayed hiring, vendor disputes, logistics slippage</t>
  </si>
  <si>
    <t>Additional rider marketing (reclassified)</t>
  </si>
  <si>
    <t>Reclassified</t>
  </si>
  <si>
    <t>Moved to Rider Economics dedicated budget line</t>
  </si>
  <si>
    <t>OPEX overrun buffer (sales tax, utilities, misc)</t>
  </si>
  <si>
    <t>Rolling</t>
  </si>
  <si>
    <t>Catch-all for sub-JD5K items and FX effects</t>
  </si>
  <si>
    <t>TOTAL OPEX VARIANCE</t>
  </si>
  <si>
    <t>JD 46K recurs in Y2; JD 15K in Y3 (vs JD 0 base model)</t>
  </si>
  <si>
    <t>WASEL — RIDER STRATEGY v2.0 ECONOMIC ADJUSTMENTS</t>
  </si>
  <si>
    <t>All figures JOD | Structural acquisition model — boycott-independent | February 2026</t>
  </si>
  <si>
    <t>SECTION 1: REVISED RIDER CAC BY CHANNEL</t>
  </si>
  <si>
    <t>Channel</t>
  </si>
  <si>
    <t>Raw CAC (JOD)</t>
  </si>
  <si>
    <t>Multiplier</t>
  </si>
  <si>
    <t>Effective CAC (JOD)</t>
  </si>
  <si>
    <t>Reliability</t>
  </si>
  <si>
    <t>1</t>
  </si>
  <si>
    <t>WASEL SAFE TRIP™ live link</t>
  </si>
  <si>
    <t>1.0×</t>
  </si>
  <si>
    <t>JD 0.80</t>
  </si>
  <si>
    <t>Permanent</t>
  </si>
  <si>
    <t>2</t>
  </si>
  <si>
    <t>University connector (15 campuses)</t>
  </si>
  <si>
    <t>JD 0.50</t>
  </si>
  <si>
    <t>1.6×</t>
  </si>
  <si>
    <t>JD 1.85</t>
  </si>
  <si>
    <t>3</t>
  </si>
  <si>
    <t>Subscription upgrade (internal conversion)</t>
  </si>
  <si>
    <t>JD 0.15</t>
  </si>
  <si>
    <t>4</t>
  </si>
  <si>
    <t>Driver in-car referral</t>
  </si>
  <si>
    <t>JD 2.37 (1 free ride)</t>
  </si>
  <si>
    <t>3.5×</t>
  </si>
  <si>
    <t>JD 0.68</t>
  </si>
  <si>
    <t>5</t>
  </si>
  <si>
    <t>Facebook lookalike ads (waitlist only)</t>
  </si>
  <si>
    <t>JD 4.00</t>
  </si>
  <si>
    <t>1.29×</t>
  </si>
  <si>
    <t>JD 3.10</t>
  </si>
  <si>
    <t>Temporary</t>
  </si>
  <si>
    <t>6</t>
  </si>
  <si>
    <t>Campus activation events</t>
  </si>
  <si>
    <t>JD 1.50</t>
  </si>
  <si>
    <t>1.8×</t>
  </si>
  <si>
    <t>JD 0.83</t>
  </si>
  <si>
    <t>High (academic year)</t>
  </si>
  <si>
    <t>7</t>
  </si>
  <si>
    <t>WhatsApp organic (driver community)</t>
  </si>
  <si>
    <t>JD 0.20</t>
  </si>
  <si>
    <t>2.0×</t>
  </si>
  <si>
    <t>JD 0.10</t>
  </si>
  <si>
    <t>TOTAL</t>
  </si>
  <si>
    <t>BLENDED EFFECTIVE CAC (REVISED)</t>
  </si>
  <si>
    <t>JD 1.42</t>
  </si>
  <si>
    <t>STRUCTURAL — no boycott dependency</t>
  </si>
  <si>
    <t>SECTION 2: RIDER LTV BY TIER</t>
  </si>
  <si>
    <t>Avg ARPU/Mo (JOD)</t>
  </si>
  <si>
    <t>Avg Lifespan (Mo)</t>
  </si>
  <si>
    <t>Monthly Churn</t>
  </si>
  <si>
    <t>LTV (JOD)</t>
  </si>
  <si>
    <t>LTV/CAC Ratio</t>
  </si>
  <si>
    <t>4.2</t>
  </si>
  <si>
    <t>18%</t>
  </si>
  <si>
    <t>Wasel Go (JD 4.99/mo)</t>
  </si>
  <si>
    <t>JD 4.99</t>
  </si>
  <si>
    <t>11.5</t>
  </si>
  <si>
    <t>7%</t>
  </si>
  <si>
    <t>JD 57.38</t>
  </si>
  <si>
    <t>40.4×</t>
  </si>
  <si>
    <t>Wasel Pass (JD 9.99/mo)</t>
  </si>
  <si>
    <t>JD 9.99</t>
  </si>
  <si>
    <t>18.2</t>
  </si>
  <si>
    <t>4%</t>
  </si>
  <si>
    <t>JD 181.82</t>
  </si>
  <si>
    <t>128×</t>
  </si>
  <si>
    <t>Wasel VIP (JD 19.99/mo)</t>
  </si>
  <si>
    <t>JD 19.99</t>
  </si>
  <si>
    <t>28+</t>
  </si>
  <si>
    <t>2%</t>
  </si>
  <si>
    <t>JD 559.72</t>
  </si>
  <si>
    <t>394×</t>
  </si>
  <si>
    <t>Corporate (per seat)</t>
  </si>
  <si>
    <t>JD 14.50</t>
  </si>
  <si>
    <t>24+</t>
  </si>
  <si>
    <t>3%</t>
  </si>
  <si>
    <t>JD 348.00</t>
  </si>
  <si>
    <t>245×</t>
  </si>
  <si>
    <t>BLENDED (10%/5%/1%/5%)</t>
  </si>
  <si>
    <t>JD 6.80</t>
  </si>
  <si>
    <t>14.1</t>
  </si>
  <si>
    <t>6.5%</t>
  </si>
  <si>
    <t>JD 95.88</t>
  </si>
  <si>
    <t>67.5×</t>
  </si>
  <si>
    <t>SECTION 3: REVISED RIDER SUBSCRIPTION REVENUE (WITH VIP TIER)</t>
  </si>
  <si>
    <t>Y1 Total (JOD)</t>
  </si>
  <si>
    <t>Wasel Go Revenue (JD 4.99/mo)</t>
  </si>
  <si>
    <t>JD 3,833</t>
  </si>
  <si>
    <t>JD 8,251</t>
  </si>
  <si>
    <t>JD 11,362</t>
  </si>
  <si>
    <t>JD 13,800</t>
  </si>
  <si>
    <t>JD 97,518</t>
  </si>
  <si>
    <t>Wasel Pass Revenue (JD 9.99/mo)</t>
  </si>
  <si>
    <t>JD 3,836</t>
  </si>
  <si>
    <t>JD 8,268</t>
  </si>
  <si>
    <t>JD 11,371</t>
  </si>
  <si>
    <t>JD 13,812</t>
  </si>
  <si>
    <t>JD 97,890</t>
  </si>
  <si>
    <t>Wasel VIP Revenue (JD 19.99/mo, from M6)</t>
  </si>
  <si>
    <t>JD 828</t>
  </si>
  <si>
    <t>JD 2,275</t>
  </si>
  <si>
    <t>JD 5,191</t>
  </si>
  <si>
    <t>JD 10,814</t>
  </si>
  <si>
    <t>TOTAL Rider Subscription Revenue</t>
  </si>
  <si>
    <t>JD 7,669</t>
  </si>
  <si>
    <t>JD 17,347</t>
  </si>
  <si>
    <t>JD 25,008</t>
  </si>
  <si>
    <t>JD 32,803</t>
  </si>
  <si>
    <t>JD 206,222</t>
  </si>
  <si>
    <t>vs. Base Model delta</t>
  </si>
  <si>
    <t>+JD 8</t>
  </si>
  <si>
    <t>+JD 820</t>
  </si>
  <si>
    <t>+JD 2,302</t>
  </si>
  <si>
    <t>+JD 5,188</t>
  </si>
  <si>
    <t>+JD 10,703</t>
  </si>
  <si>
    <t>SECTION 4: 90-DAY TACTICAL GANTT (RIDER STRATEGY)</t>
  </si>
  <si>
    <t>Week</t>
  </si>
  <si>
    <t>Phase</t>
  </si>
  <si>
    <t>Initiative</t>
  </si>
  <si>
    <t>Owner</t>
  </si>
  <si>
    <t>Budget (JOD)</t>
  </si>
  <si>
    <t>Success Metric</t>
  </si>
  <si>
    <t>W1-2</t>
  </si>
  <si>
    <t>Foundation</t>
  </si>
  <si>
    <t>WASEL LOCK™ — pre-booking fare guarantee live</t>
  </si>
  <si>
    <t>Tech</t>
  </si>
  <si>
    <t>Dev only</t>
  </si>
  <si>
    <t>100% rides show locked fare</t>
  </si>
  <si>
    <t>WASEL SAFE TRIP™ + SOS prominence built</t>
  </si>
  <si>
    <t>Live link in &lt;2 taps</t>
  </si>
  <si>
    <t>W2-3</t>
  </si>
  <si>
    <t>WhatsApp CRM Day 0-7 onboarding sequence</t>
  </si>
  <si>
    <t>Growth</t>
  </si>
  <si>
    <t>JD 400/mo</t>
  </si>
  <si>
    <t>Message delivery &gt;98%</t>
  </si>
  <si>
    <t>W3-4</t>
  </si>
  <si>
    <t>Subscription paywall: Go JD 4.99 / Pass JD 9.99 / decoy</t>
  </si>
  <si>
    <t>Product</t>
  </si>
  <si>
    <t>A/B variants ready</t>
  </si>
  <si>
    <t>Acquisition</t>
  </si>
  <si>
    <t>University connectors: 15 campuses, 30 cards each</t>
  </si>
  <si>
    <t>JD 750</t>
  </si>
  <si>
    <t>15 connectors confirmed</t>
  </si>
  <si>
    <t>W4-5</t>
  </si>
  <si>
    <t>First Ride Guarantee + JD 1.00 auto-credit on driver cancel</t>
  </si>
  <si>
    <t>JD 500 reserve</t>
  </si>
  <si>
    <t>Guarantee tracking active</t>
  </si>
  <si>
    <t>W5-8</t>
  </si>
  <si>
    <t>Activation</t>
  </si>
  <si>
    <t>Behavioral nudges: surge loss-aversion + streak mechanic</t>
  </si>
  <si>
    <t>JD 200 CRM</t>
  </si>
  <si>
    <t>Subscription conversion &gt;25%</t>
  </si>
  <si>
    <t>Give-not-earn referral + WhatsApp share card</t>
  </si>
  <si>
    <t>JD 300 design</t>
  </si>
  <si>
    <t>K-factor &gt;0.25</t>
  </si>
  <si>
    <t>W8-10</t>
  </si>
  <si>
    <t>Optimization</t>
  </si>
  <si>
    <t>KPI dashboard: CAC/channel, LTV/tier, churn/cohort</t>
  </si>
  <si>
    <t>Analytics</t>
  </si>
  <si>
    <t>JD 600 tooling</t>
  </si>
  <si>
    <t>Dashboard live with M1-M2 data</t>
  </si>
  <si>
    <t>W10-12</t>
  </si>
  <si>
    <t>Cash agent network: 10 stations + 5 pharmacies</t>
  </si>
  <si>
    <t>Ops</t>
  </si>
  <si>
    <t>JD 1,000 setup</t>
  </si>
  <si>
    <t>Top-up in 15 locations</t>
  </si>
  <si>
    <t>WASEL — SUBSCRIPTION-BASED RIDE-HAILING PLATFORM</t>
  </si>
  <si>
    <t>MASTER ASSUMPTIONS &amp; INPUTS (REVISED)</t>
  </si>
  <si>
    <t>MARKET &amp; LAUNCH PARAMETERS</t>
  </si>
  <si>
    <t>Value</t>
  </si>
  <si>
    <t>Unit</t>
  </si>
  <si>
    <t>Source / Notes</t>
  </si>
  <si>
    <t>Target City</t>
  </si>
  <si>
    <t>Amman</t>
  </si>
  <si>
    <t>Capital of Jordan; 4.5M metro population</t>
  </si>
  <si>
    <t>Launch Month</t>
  </si>
  <si>
    <t>Month 1</t>
  </si>
  <si>
    <t>Phase 1 launch target</t>
  </si>
  <si>
    <t>Avg Fare per Trip (JOD)</t>
  </si>
  <si>
    <t>JOD</t>
  </si>
  <si>
    <t>Benchmark: taxi rides 2-3 JOD within Amman; similar in Irbid/Zarqa</t>
  </si>
  <si>
    <t>Avg Trips per Driver per Day (Blended)</t>
  </si>
  <si>
    <t>trips</t>
  </si>
  <si>
    <t>Range 7-11; blended across tiers, higher for multi-city</t>
  </si>
  <si>
    <t>Operating Days per Month</t>
  </si>
  <si>
    <t>days</t>
  </si>
  <si>
    <t>6 days/week average</t>
  </si>
  <si>
    <t>Est. Monthly Gross Fare Revenue (Blended)</t>
  </si>
  <si>
    <t>JOD/driver</t>
  </si>
  <si>
    <t>Targeting ~JD 450–650; validates driver economics</t>
  </si>
  <si>
    <t>Payment Mix — Cash %</t>
  </si>
  <si>
    <t>%</t>
  </si>
  <si>
    <t>Jordan cash-heavy; &lt;50% made digital payment in 2024</t>
  </si>
  <si>
    <t>Payment Mix — Digital %</t>
  </si>
  <si>
    <t>Growing: mobile wallets at 2.59M users (2024)</t>
  </si>
  <si>
    <t>Payment Processing Fee (Digital)</t>
  </si>
  <si>
    <t>HyperPay/MadfooatCom MENA standard: 2.5-3.5%</t>
  </si>
  <si>
    <t>JOD to USD Exchange Rate</t>
  </si>
  <si>
    <t>USD/JOD</t>
  </si>
  <si>
    <t>Fixed peg: 1 JOD ≈ $1.41 USD</t>
  </si>
  <si>
    <t>DRIVER ECONOMICS</t>
  </si>
  <si>
    <t>Fuel Cost / Driver / Month</t>
  </si>
  <si>
    <t>~JD 7.70/day × 26 days; Amman fuel prices</t>
  </si>
  <si>
    <t>Maintenance Cost / Driver / Month</t>
  </si>
  <si>
    <t>Oil, tires, brakes, general upkeep</t>
  </si>
  <si>
    <t>Data &amp; Misc / Driver / Month</t>
  </si>
  <si>
    <t>Mobile data plan + misc expenses</t>
  </si>
  <si>
    <t>Total Driver Operating Costs</t>
  </si>
  <si>
    <t>JOD/mo</t>
  </si>
  <si>
    <t>Total monthly cost to operate as a driver</t>
  </si>
  <si>
    <t>Net Driver Income (Before Subscription)</t>
  </si>
  <si>
    <t>Gross fares minus driver operating costs</t>
  </si>
  <si>
    <t>Net Driver Income (After Sub, Blended)</t>
  </si>
  <si>
    <t>After Wasel subscription fee (blended avg)</t>
  </si>
  <si>
    <t>DRIVER GROWTH ASSUMPTIONS</t>
  </si>
  <si>
    <t>Starting Drivers (Month 1)</t>
  </si>
  <si>
    <t>drivers</t>
  </si>
  <si>
    <t>Soft launch cohort in Amman; expanding to Irbid/Zarqa/Aqaba in Y1</t>
  </si>
  <si>
    <t>Monthly Driver Growth Rate</t>
  </si>
  <si>
    <t>% MoM</t>
  </si>
  <si>
    <t>Validated with driver community; 28% MoM driven by word-of-mouth + JD 15 referral + solving real pain (28% commission)</t>
  </si>
  <si>
    <t>Max Drivers (Phase 1 Cap)</t>
  </si>
  <si>
    <t>Amman capacity constraint; Phase 1 ceiling</t>
  </si>
  <si>
    <t>GRADUATED ONBOARDING PROGRAM</t>
  </si>
  <si>
    <t>Stage</t>
  </si>
  <si>
    <t>Duration</t>
  </si>
  <si>
    <t>Sub Fee (JOD)</t>
  </si>
  <si>
    <t>Trip Soft-Cap</t>
  </si>
  <si>
    <t>Churn at Transition</t>
  </si>
  <si>
    <t>Month 0 (Trial)</t>
  </si>
  <si>
    <t>1 month</t>
  </si>
  <si>
    <t>5 trips/day</t>
  </si>
  <si>
    <t>Free trial; limited dispatches to reduce risk</t>
  </si>
  <si>
    <t>Month 1 (Ramp)</t>
  </si>
  <si>
    <t>7 trips/day</t>
  </si>
  <si>
    <t>Discounted ramp; 12% drop at full-price transition</t>
  </si>
  <si>
    <t>Month 2+ (Active)</t>
  </si>
  <si>
    <t>Ongoing</t>
  </si>
  <si>
    <t>Auto-assign tier</t>
  </si>
  <si>
    <t>Per tier</t>
  </si>
  <si>
    <t>See below</t>
  </si>
  <si>
    <t>Full platform access; tier-based pricing</t>
  </si>
  <si>
    <t>TRANSITION-BASED CHURN</t>
  </si>
  <si>
    <t>Transition Point</t>
  </si>
  <si>
    <t>Churn Rate</t>
  </si>
  <si>
    <t>M0 → M1 (trial to ramp)</t>
  </si>
  <si>
    <t>30% drop at first payment wall</t>
  </si>
  <si>
    <t>25% drop at first payment wall (improved with JD 10 ramp pricing)</t>
  </si>
  <si>
    <t>M1 → M2 (ramp to full price)</t>
  </si>
  <si>
    <t>12% drop at full-price tier assignment</t>
  </si>
  <si>
    <t>M2–M6 (early active)</t>
  </si>
  <si>
    <t>5% monthly; still building loyalty</t>
  </si>
  <si>
    <t>M6+ (mature)</t>
  </si>
  <si>
    <t>2.5% monthly; strong retention</t>
  </si>
  <si>
    <t>TIERED SUBSCRIPTION PLAN — DRIVER FEES (3 TIERS)</t>
  </si>
  <si>
    <t>Tier Name</t>
  </si>
  <si>
    <t>Monthly Fee (USD)</t>
  </si>
  <si>
    <t>Driver Mix %</t>
  </si>
  <si>
    <t>Trips/Day (Soft-Cap)</t>
  </si>
  <si>
    <t>Est. Monthly Driver Revenue (JOD)</t>
  </si>
  <si>
    <t>Key Benefits</t>
  </si>
  <si>
    <t>🟢 Starter</t>
  </si>
  <si>
    <t>Standard ride queue, basic app access, self-managed</t>
  </si>
  <si>
    <t>🔵 Core</t>
  </si>
  <si>
    <t>Priority dispatch, premium rides, phone support, roadside assist</t>
  </si>
  <si>
    <t>🟡 Pro</t>
  </si>
  <si>
    <t>Top priority, VIP rides, insurance subsidy, maintenance discounts</t>
  </si>
  <si>
    <t>Blended Avg Fee (JOD)</t>
  </si>
  <si>
    <t>Validation:</t>
  </si>
  <si>
    <t>Blended Avg Fee (USD)</t>
  </si>
  <si>
    <t>INSURANCE &amp; MAINTENANCE INCENTIVE PROGRAM</t>
  </si>
  <si>
    <t>Program Component</t>
  </si>
  <si>
    <t>Cost to Platform (JOD/driver/mo)</t>
  </si>
  <si>
    <t>Eligible Tiers</t>
  </si>
  <si>
    <t>Description</t>
  </si>
  <si>
    <t>Third-Party Liability (Group Policy)</t>
  </si>
  <si>
    <t>All Tiers</t>
  </si>
  <si>
    <t>Platform-level group policy; JD 20K min/accident per regulation</t>
  </si>
  <si>
    <t>Comprehensive Top-Up Subsidy</t>
  </si>
  <si>
    <t>Pro Only</t>
  </si>
  <si>
    <t>Subsidized comprehensive coverage (collision + theft); platform pays ~50%</t>
  </si>
  <si>
    <t>Roadside Assistance Partnership</t>
  </si>
  <si>
    <t>Core + Pro</t>
  </si>
  <si>
    <t>24/7 roadside assistance via local partner (AAJ / insurer add-on)</t>
  </si>
  <si>
    <t>Maintenance Discount Network</t>
  </si>
  <si>
    <t>15-25% discount at partner garages; platform subsidizes booking fee</t>
  </si>
  <si>
    <t>Blended Insurance Cost / Driver / Mo</t>
  </si>
  <si>
    <t>Weighted avg across 3-tier mix</t>
  </si>
  <si>
    <t>OPERATING COST ASSUMPTIONS (MONTHLY)</t>
  </si>
  <si>
    <t>Cost Category</t>
  </si>
  <si>
    <t>Monthly Cost (JOD)</t>
  </si>
  <si>
    <t>Cloud Infrastructure (AWS/Firebase)</t>
  </si>
  <si>
    <t>Semi-Fixed</t>
  </si>
  <si>
    <t>EC2 + RDS + S3 + Firebase + Maps API. Phase 1 baseline.</t>
  </si>
  <si>
    <t>Google Maps / Location API</t>
  </si>
  <si>
    <t>Variable</t>
  </si>
  <si>
    <t>~$7/1K requests. Scales with rides.</t>
  </si>
  <si>
    <t>SMS / Push Notification Services</t>
  </si>
  <si>
    <t>Twilio/local gateway. ~0.015 JOD per SMS × ride notifications</t>
  </si>
  <si>
    <t>Customer Support (Outsourced)</t>
  </si>
  <si>
    <t>3-4 agents at JD 400/mo. Ticket cost ~JD 1.50</t>
  </si>
  <si>
    <t>Driver Onboarding &amp; Verification</t>
  </si>
  <si>
    <t>Per Driver</t>
  </si>
  <si>
    <t>Background check, doc verification, vehicle inspection</t>
  </si>
  <si>
    <t>Marketing &amp; Driver Acquisition (CAC)</t>
  </si>
  <si>
    <t>Per New Driver</t>
  </si>
  <si>
    <t>Referral bonus JD 18 + digital ads JD 12. Higher spend to fuel 30% MoM growth.</t>
  </si>
  <si>
    <t>Rider Acquisition &amp; Promos</t>
  </si>
  <si>
    <t>Fixed</t>
  </si>
  <si>
    <t>First-ride promos, social media, influencer partnerships. Higher spend to build rider demand matching driver supply.</t>
  </si>
  <si>
    <t>OPEX VARIANCE BANDS</t>
  </si>
  <si>
    <t>Period</t>
  </si>
  <si>
    <t>Variance</t>
  </si>
  <si>
    <t>Month 1 (Launch)</t>
  </si>
  <si>
    <t>Baseline — no variance</t>
  </si>
  <si>
    <t>Months 2–4 (Early Ops)</t>
  </si>
  <si>
    <t>+20% above baseline for startup friction</t>
  </si>
  <si>
    <t>Months 5–12 (Stabilizing)</t>
  </si>
  <si>
    <t>+10% as operations mature</t>
  </si>
  <si>
    <t>TEAM &amp; OVERHEAD (FIXED MONTHLY)</t>
  </si>
  <si>
    <t>Role / Item</t>
  </si>
  <si>
    <t>Headcount</t>
  </si>
  <si>
    <t>CEO / Founder</t>
  </si>
  <si>
    <t>Below-market startup salary</t>
  </si>
  <si>
    <t>CTO / Lead Engineer</t>
  </si>
  <si>
    <t>Full-stack + mobile; equity-compensated</t>
  </si>
  <si>
    <t>Operations Manager</t>
  </si>
  <si>
    <t>Driver relations, onboarding, QA</t>
  </si>
  <si>
    <t>Marketing / Growth Lead</t>
  </si>
  <si>
    <t>Digital marketing, partnerships</t>
  </si>
  <si>
    <t>Finance / Compliance</t>
  </si>
  <si>
    <t>Part-time; regulatory filings, bookkeeping</t>
  </si>
  <si>
    <t>Office / Co-working Space</t>
  </si>
  <si>
    <t>Shared workspace in Amman (e.g., Zain Innovation Campus)</t>
  </si>
  <si>
    <t>Legal &amp; Accounting (Retainer)</t>
  </si>
  <si>
    <t>Monthly retainer for legal counsel + audit prep</t>
  </si>
  <si>
    <t>Miscellaneous / Contingency</t>
  </si>
  <si>
    <t>Travel, supplies, unforeseen</t>
  </si>
  <si>
    <t>TOTAL TEAM &amp; OVERHEAD</t>
  </si>
  <si>
    <t>Minimum viable team for Phase 1</t>
  </si>
  <si>
    <t>REGULATORY &amp; LICENSING</t>
  </si>
  <si>
    <t>Item</t>
  </si>
  <si>
    <t>Annual Cost (JOD)</t>
  </si>
  <si>
    <t>Monthly Equiv. (JOD)</t>
  </si>
  <si>
    <t>LTRC Platform License Fee</t>
  </si>
  <si>
    <t>JD 100K/year for up to 3,000 cars. LTRC discussing reduction.</t>
  </si>
  <si>
    <t>Per-Vehicle Registration Fee</t>
  </si>
  <si>
    <t>Per car/yr</t>
  </si>
  <si>
    <t>JD 70 per additional car above 3,000. Negligible at Phase 1.</t>
  </si>
  <si>
    <t>Driver Permit Fee (passed to driver)</t>
  </si>
  <si>
    <t>Per driver/yr</t>
  </si>
  <si>
    <t>Drivers demand reduction from JD 400 to JD 200. Platform may subsidize.</t>
  </si>
  <si>
    <t>Bank Guarantee (Deposit)</t>
  </si>
  <si>
    <t>25000</t>
  </si>
  <si>
    <t>Required deposit with LTRC. One-time but ties up capital.</t>
  </si>
  <si>
    <t>Company Registration &amp; Legal Setup</t>
  </si>
  <si>
    <t>Transport objective in articles, min share capital, legal fees.</t>
  </si>
  <si>
    <t>Annual Compliance &amp; Audit</t>
  </si>
  <si>
    <t>Annual audit, regulatory filings, data reporting to LTRC.</t>
  </si>
  <si>
    <t>TOTAL ANNUAL REGULATORY</t>
  </si>
  <si>
    <t>Excludes one-time setup &amp; per-driver permits</t>
  </si>
  <si>
    <t>PRE-LAUNCH CAPITAL REQUIRED</t>
  </si>
  <si>
    <t>Amount (JOD)</t>
  </si>
  <si>
    <t>Amount (USD)</t>
  </si>
  <si>
    <t>App Development (MVP)</t>
  </si>
  <si>
    <t>Rider app + Driver app + Admin panel. 3-4 month build.</t>
  </si>
  <si>
    <t>LTRC License Fee (Year 1)</t>
  </si>
  <si>
    <t>Paid upfront before operations begin</t>
  </si>
  <si>
    <t>Refundable deposit; ties up working capital</t>
  </si>
  <si>
    <t>Company Registration &amp; Legal</t>
  </si>
  <si>
    <t>One-time incorporation + regulatory setup</t>
  </si>
  <si>
    <t>Initial Marketing &amp; Launch Campaign</t>
  </si>
  <si>
    <t>Pre-launch brand awareness, driver recruitment blitz</t>
  </si>
  <si>
    <t>Working Capital Buffer (3 months OPEX)</t>
  </si>
  <si>
    <t>Covers 3 months of operating expenses before revenue stabilizes</t>
  </si>
  <si>
    <t>TOTAL PRE-LAUNCH CAPITAL REQUIRED</t>
  </si>
  <si>
    <t>Seed round / founder capital target</t>
  </si>
  <si>
    <t>Total, 740,000 JOD 14 Month runway</t>
  </si>
  <si>
    <t>REGULATORY CAPITAL RESERVE</t>
  </si>
  <si>
    <t>Locked Capital (License + Guarantee)</t>
  </si>
  <si>
    <t>License fee + bank guarantee; tied up year 1</t>
  </si>
  <si>
    <t>Buffer (30%)</t>
  </si>
  <si>
    <t>Safety margin for unexpected regulatory costs</t>
  </si>
  <si>
    <t>Total Regulatory Capital Reserve</t>
  </si>
  <si>
    <t>Capital locked for regulatory compliance</t>
  </si>
  <si>
    <t>Est. Payback Period</t>
  </si>
  <si>
    <t>12–18 months</t>
  </si>
  <si>
    <t>Target payback from subscription revenue</t>
  </si>
  <si>
    <t>TIERED SUBSCRIPTION PLANS — DETAILED BREAKDOWN</t>
  </si>
  <si>
    <t>Driver Subscription Tiers — Value Proposition &amp; Feature Matrix (3 Tiers, Soft-Cap Model)</t>
  </si>
  <si>
    <t>PLAN OVERVIEW</t>
  </si>
  <si>
    <t>Feature / Metric</t>
  </si>
  <si>
    <t>🟢 STARTER</t>
  </si>
  <si>
    <t>🔵 CORE</t>
  </si>
  <si>
    <t>🟡 PRO</t>
  </si>
  <si>
    <t>Monthly Subscription Fee (JOD)</t>
  </si>
  <si>
    <t>Driver keeps 100% of fare revenue</t>
  </si>
  <si>
    <t>Monthly Fee (USD Equiv.)</t>
  </si>
  <si>
    <t>At JOD/USD peg of 1.41</t>
  </si>
  <si>
    <t>Target Driver Profile</t>
  </si>
  <si>
    <t>Part-time / new drivers</t>
  </si>
  <si>
    <t>Full-time daily drivers</t>
  </si>
  <si>
    <t>High-volume professionals</t>
  </si>
  <si>
    <t>Self-selection by earning level</t>
  </si>
  <si>
    <t>Expected Driver Mix</t>
  </si>
  <si>
    <t>Phase 1 assumption; shifts as platform matures</t>
  </si>
  <si>
    <t>Priority reduction above cap, not hard block</t>
  </si>
  <si>
    <t>Est. Monthly Gross Fare Revenue (JOD)</t>
  </si>
  <si>
    <t>100% retained by driver</t>
  </si>
  <si>
    <t>Subscription as % of Gross Revenue</t>
  </si>
  <si>
    <t>vs. Uber/Careem 30% commission — massive driver savings</t>
  </si>
  <si>
    <t>SOFT-CAP DISPATCH MECHANICS</t>
  </si>
  <si>
    <t>Soft-Cap (trips/day)</t>
  </si>
  <si>
    <t>Below Cap</t>
  </si>
  <si>
    <t>Above Cap</t>
  </si>
  <si>
    <t>Design Rationale</t>
  </si>
  <si>
    <t>Normal dispatch priority</t>
  </si>
  <si>
    <t>Reduced priority; longer wait for requests</t>
  </si>
  <si>
    <t>Encourages upgrade to Core for high-activity drivers</t>
  </si>
  <si>
    <t>Priority dispatch</t>
  </si>
  <si>
    <t>Drops to standard priority</t>
  </si>
  <si>
    <t>Sweet spot for full-time drivers; upsell path to Pro</t>
  </si>
  <si>
    <t>Top priority + VIP access</t>
  </si>
  <si>
    <t>Drops to priority (Core-level)</t>
  </si>
  <si>
    <t>Highest earners; rarely hit cap at 12 trips/day</t>
  </si>
  <si>
    <t>FEATURE MATRIX</t>
  </si>
  <si>
    <t>Feature</t>
  </si>
  <si>
    <t>Impact</t>
  </si>
  <si>
    <t>DISPATCH &amp; RIDE ACCESS</t>
  </si>
  <si>
    <t xml:space="preserve">  Standard ride queue</t>
  </si>
  <si>
    <t>✓</t>
  </si>
  <si>
    <t>All tiers get ride requests</t>
  </si>
  <si>
    <t xml:space="preserve">  Priority dispatch algorithm</t>
  </si>
  <si>
    <t>✓✓</t>
  </si>
  <si>
    <t>Higher tier = first in queue for nearby rides</t>
  </si>
  <si>
    <t xml:space="preserve">  Premium / VIP ride access</t>
  </si>
  <si>
    <t>Airport runs, corporate accounts, higher-fare rides</t>
  </si>
  <si>
    <t xml:space="preserve">  Airport &amp; hotel queue access</t>
  </si>
  <si>
    <t>Exclusive high-value pickup zones</t>
  </si>
  <si>
    <t>SUPPORT &amp; ACCOUNT MANAGEMENT</t>
  </si>
  <si>
    <t xml:space="preserve">  In-app chat support</t>
  </si>
  <si>
    <t>Standard response time</t>
  </si>
  <si>
    <t xml:space="preserve">  Dedicated phone support line</t>
  </si>
  <si>
    <t>Priority resolution for Core+</t>
  </si>
  <si>
    <t>INSURANCE &amp; PROTECTION</t>
  </si>
  <si>
    <t xml:space="preserve">  Third-party liability (platform policy)</t>
  </si>
  <si>
    <t>Mandatory: JD 20K min/accident (Jordan regulation)</t>
  </si>
  <si>
    <t xml:space="preserve">  Roadside assistance (24/7)</t>
  </si>
  <si>
    <t>Towing, battery, tire service via partner</t>
  </si>
  <si>
    <t xml:space="preserve">  Comprehensive top-up insurance (50% subsidy)</t>
  </si>
  <si>
    <t>Collision + theft; platform pays half the premium</t>
  </si>
  <si>
    <t>MAINTENANCE &amp; VEHICLE CARE</t>
  </si>
  <si>
    <t xml:space="preserve">  Partner garage network (15-25% discount)</t>
  </si>
  <si>
    <t>Oil change, brakes, tires at negotiated rates</t>
  </si>
  <si>
    <t xml:space="preserve">  Free annual vehicle inspection</t>
  </si>
  <si>
    <t>Compliance + safety check at no cost</t>
  </si>
  <si>
    <t>INSURANCE PROGRAM — DETAILED STRUCTURE</t>
  </si>
  <si>
    <t>Coverage Type</t>
  </si>
  <si>
    <t>Coverage Amount</t>
  </si>
  <si>
    <t>Platform Cost / Driver / Mo</t>
  </si>
  <si>
    <t>Driver Pays</t>
  </si>
  <si>
    <t>Mandatory Third-Party Liability</t>
  </si>
  <si>
    <t>JD 20,000 min per accident</t>
  </si>
  <si>
    <t>JD 5.00</t>
  </si>
  <si>
    <t>JD 0 (included)</t>
  </si>
  <si>
    <t>Comprehensive Vehicle (Top-Up)</t>
  </si>
  <si>
    <t>Collision, theft, fire, natural disaster</t>
  </si>
  <si>
    <t>JD 8.00</t>
  </si>
  <si>
    <t>JD 8.00 (co-pay)</t>
  </si>
  <si>
    <t>Roadside Assistance</t>
  </si>
  <si>
    <t>24/7 towing, flat tire, battery, lockout</t>
  </si>
  <si>
    <t>JD 3.00</t>
  </si>
  <si>
    <t>WHY THIS WORKS FOR INVESTORS:</t>
  </si>
  <si>
    <t>• Bulk purchasing power: Group policies cost 40-60% less than individual driver policies</t>
  </si>
  <si>
    <t>• Retention driver: Insurance benefits create switching costs — drivers lose coverage if they leave</t>
  </si>
  <si>
    <t>• Regulatory compliance: Mandatory liability baked into platform cost, not optional</t>
  </si>
  <si>
    <t>• Upsell path: Starter drivers see insurance value in Core/Pro and upgrade over time</t>
  </si>
  <si>
    <t>• Revenue protection: Lower churn from insurance lock-in improves LTV and payback period</t>
  </si>
  <si>
    <t>COMPETITIVE POSITIONING vs. UBER/CAREEM IN AMMAN</t>
  </si>
  <si>
    <t>Uber/Careem (Amman)</t>
  </si>
  <si>
    <t>Wasel (Blended)</t>
  </si>
  <si>
    <t>Driver Advantage</t>
  </si>
  <si>
    <t>Commission / Fee Model</t>
  </si>
  <si>
    <t>30% per ride</t>
  </si>
  <si>
    <t>Flat monthly fee</t>
  </si>
  <si>
    <t>Predictable cost</t>
  </si>
  <si>
    <t>Driver keeps (% of fare)</t>
  </si>
  <si>
    <t>+30% more per ride</t>
  </si>
  <si>
    <t>Effective cost on JD 585/mo revenue (Core)</t>
  </si>
  <si>
    <t>Insurance included?</t>
  </si>
  <si>
    <t>Yes (all tiers)</t>
  </si>
  <si>
    <t>Added value</t>
  </si>
  <si>
    <t>Maintenance benefits?</t>
  </si>
  <si>
    <t>Pro tier</t>
  </si>
  <si>
    <t>Cost savings for driver</t>
  </si>
  <si>
    <t>Cash payment support?</t>
  </si>
  <si>
    <t>Limited</t>
  </si>
  <si>
    <t>Full (65% cash)</t>
  </si>
  <si>
    <t>Fits Jordan market</t>
  </si>
  <si>
    <t>Switching cost for driver</t>
  </si>
  <si>
    <t>Insurance + benefits</t>
  </si>
  <si>
    <t>Higher retention</t>
  </si>
  <si>
    <t>WASEL — 12-MONTH PROJECTED P&amp;L</t>
  </si>
  <si>
    <t>All figures in Jordanian Dinars (JOD)  |  Cohort-based driver model with graduated onboarding</t>
  </si>
  <si>
    <t>Month 2</t>
  </si>
  <si>
    <t>Month 3</t>
  </si>
  <si>
    <t>Month 4</t>
  </si>
  <si>
    <t>Month 5</t>
  </si>
  <si>
    <t>Month 7</t>
  </si>
  <si>
    <t>Month 8</t>
  </si>
  <si>
    <t>Month 10</t>
  </si>
  <si>
    <t>Month 11</t>
  </si>
  <si>
    <t>YEAR 1 TOTAL</t>
  </si>
  <si>
    <t>DRIVER METRICS (COHORT-BASED)</t>
  </si>
  <si>
    <t>New Drivers Added</t>
  </si>
  <si>
    <t>Calc</t>
  </si>
  <si>
    <t>M0 Drivers (Trial — JD 0 fee)</t>
  </si>
  <si>
    <t>Cohort</t>
  </si>
  <si>
    <t>M1 Drivers (Ramp — JD 10 fee)</t>
  </si>
  <si>
    <t>M2+ Drivers (Active — tier pricing)</t>
  </si>
  <si>
    <t>Churned Drivers</t>
  </si>
  <si>
    <t>Total Active Drivers (EoM)</t>
  </si>
  <si>
    <t>Sum</t>
  </si>
  <si>
    <t>Total Rides (month)</t>
  </si>
  <si>
    <t>Gross Ride GMV (platform volume)</t>
  </si>
  <si>
    <t>REVENUE</t>
  </si>
  <si>
    <t xml:space="preserve">  M0 Revenue (Trial — JD 0)</t>
  </si>
  <si>
    <t xml:space="preserve">  M1 Revenue (Ramp — JD 10)</t>
  </si>
  <si>
    <t xml:space="preserve">  M2+ Starter Tier Subscriptions</t>
  </si>
  <si>
    <t xml:space="preserve">  M2+ Core Tier Subscriptions</t>
  </si>
  <si>
    <t xml:space="preserve">  M2+ Pro Tier Subscriptions</t>
  </si>
  <si>
    <t>Total Subscription Revenue</t>
  </si>
  <si>
    <t>TOTAL REVENUE</t>
  </si>
  <si>
    <t>COST OF REVENUE (VARIABLE)</t>
  </si>
  <si>
    <t xml:space="preserve">  Payment Processing Fees (Digital Subs)</t>
  </si>
  <si>
    <t xml:space="preserve">  Insurance Program Costs</t>
  </si>
  <si>
    <t xml:space="preserve">  Cloud Infrastructure (AWS/Firebase)</t>
  </si>
  <si>
    <t>Semi-Fix</t>
  </si>
  <si>
    <t xml:space="preserve">  Maps &amp; Location API</t>
  </si>
  <si>
    <t xml:space="preserve">  SMS / Push Notifications</t>
  </si>
  <si>
    <t xml:space="preserve">  Driver Onboarding &amp; Verification</t>
  </si>
  <si>
    <t>Per New</t>
  </si>
  <si>
    <t>Total Cost of Revenue</t>
  </si>
  <si>
    <t>GROSS PROFIT</t>
  </si>
  <si>
    <t>Gross Margin %</t>
  </si>
  <si>
    <t>OPERATING EXPENSES (OPEX)</t>
  </si>
  <si>
    <t xml:space="preserve">  Team &amp; Overhead (Salaries + Office)</t>
  </si>
  <si>
    <t xml:space="preserve">  Customer Support</t>
  </si>
  <si>
    <t xml:space="preserve">  Marketing — Driver Acquisition</t>
  </si>
  <si>
    <t xml:space="preserve">  Rider Acquisition &amp; Promos</t>
  </si>
  <si>
    <t xml:space="preserve">  Regulatory &amp; LTRC License Fee</t>
  </si>
  <si>
    <t xml:space="preserve">  Legal &amp; Accounting</t>
  </si>
  <si>
    <t xml:space="preserve">  OPEX Variance Adjustment</t>
  </si>
  <si>
    <t>Adj</t>
  </si>
  <si>
    <t>EBITDA</t>
  </si>
  <si>
    <t>EBITDA Margin %</t>
  </si>
  <si>
    <t xml:space="preserve">  Depreciation &amp; Amortization</t>
  </si>
  <si>
    <t xml:space="preserve">  Interest Expense</t>
  </si>
  <si>
    <t>NET INCOME (LOSS)</t>
  </si>
  <si>
    <t>Net Margin %</t>
  </si>
  <si>
    <t>Cumulative Net Income (Loss)</t>
  </si>
  <si>
    <t>UNIT ECONOMICS — PER-DRIVER ANALYSIS</t>
  </si>
  <si>
    <t>All figures in Jordanian Dinars (JOD) per driver per month  |  Updated for 3-tier model with transition churn</t>
  </si>
  <si>
    <t>DRIVER ECONOMICS (GROSS FARE INCOME)</t>
  </si>
  <si>
    <t>Starter</t>
  </si>
  <si>
    <t>Core</t>
  </si>
  <si>
    <t>Pro</t>
  </si>
  <si>
    <t>Blended Avg</t>
  </si>
  <si>
    <t>Monthly Gross Fare Revenue (JOD)</t>
  </si>
  <si>
    <t>(−) Driver Operating Costs</t>
  </si>
  <si>
    <t>Fuel JD 200 + Maint JD 120 + Data JD 30</t>
  </si>
  <si>
    <t>(−) Wasel Subscription Fee</t>
  </si>
  <si>
    <t>Net Driver Take-Home Income</t>
  </si>
  <si>
    <t>Net Income as % of Gross Fare</t>
  </si>
  <si>
    <t>vs. 70% at Uber/Careem</t>
  </si>
  <si>
    <t>PLATFORM REVENUE PER DRIVER (M2+ ACTIVE)</t>
  </si>
  <si>
    <t>ARPU (Avg Revenue Per Driver)</t>
  </si>
  <si>
    <t>PLATFORM COST PER DRIVER</t>
  </si>
  <si>
    <t xml:space="preserve">  Payment Processing (digital subs)</t>
  </si>
  <si>
    <t xml:space="preserve">  Insurance — Third-Party Liability</t>
  </si>
  <si>
    <t>All tiers</t>
  </si>
  <si>
    <t xml:space="preserve">  Insurance — Comprehensive Subsidy</t>
  </si>
  <si>
    <t>Pro only</t>
  </si>
  <si>
    <t xml:space="preserve">  Roadside Assistance</t>
  </si>
  <si>
    <t xml:space="preserve">  Maintenance Network Subsidy</t>
  </si>
  <si>
    <t xml:space="preserve">  Cloud &amp; Tech Infrastructure (allocated)</t>
  </si>
  <si>
    <t>Baseline allocated equally</t>
  </si>
  <si>
    <t>Total Variable Cost per Driver</t>
  </si>
  <si>
    <t>CONTRIBUTION MARGIN</t>
  </si>
  <si>
    <t>Subscription Revenue</t>
  </si>
  <si>
    <t>(−) Total Variable Cost</t>
  </si>
  <si>
    <t>Contribution Margin (JOD)</t>
  </si>
  <si>
    <t>Contribution Margin %</t>
  </si>
  <si>
    <t>DRIVER LIFETIME VALUE (LTV) — TRANSITION CHURN MODEL</t>
  </si>
  <si>
    <t>Survival Rate: M0 → M1</t>
  </si>
  <si>
    <t>75% survive first payment wall (improved onboarding)</t>
  </si>
  <si>
    <t>Survival Rate: M1 → M2</t>
  </si>
  <si>
    <t>88% survive full-price transition</t>
  </si>
  <si>
    <t>Monthly Churn (M2–M6)</t>
  </si>
  <si>
    <t>%/month</t>
  </si>
  <si>
    <t>4% monthly churn in early active phase</t>
  </si>
  <si>
    <t>Monthly Churn (M6+)</t>
  </si>
  <si>
    <t>2% monthly; strong retention with insurance lock-in</t>
  </si>
  <si>
    <t>Effective Avg Lifespan (months)</t>
  </si>
  <si>
    <t>months</t>
  </si>
  <si>
    <t>Weighted avg: M0 trial + M1 ramp + M2+ active lifespan</t>
  </si>
  <si>
    <t>Blended Contribution Margin / Mo</t>
  </si>
  <si>
    <t>Weighted average across all tiers (M2+ active)</t>
  </si>
  <si>
    <t>Driver LTV (JOD)</t>
  </si>
  <si>
    <t>Contribution Margin × Avg Lifespan</t>
  </si>
  <si>
    <t>Driver LTV (USD)</t>
  </si>
  <si>
    <t>USD</t>
  </si>
  <si>
    <t>CAC &amp; PAYBACK ANALYSIS</t>
  </si>
  <si>
    <t>Driver Acquisition Cost (CAC)</t>
  </si>
  <si>
    <t>Referral bonus JD 15 + digital ads JD 10</t>
  </si>
  <si>
    <t>Driver Onboarding Cost</t>
  </si>
  <si>
    <t>Background check, doc verify, vehicle inspect</t>
  </si>
  <si>
    <t>Total CAC (Fully Loaded)</t>
  </si>
  <si>
    <t>CAC + onboarding per new driver</t>
  </si>
  <si>
    <t>LTV / CAC Ratio</t>
  </si>
  <si>
    <t>x</t>
  </si>
  <si>
    <t>Target: &gt;3.0x for healthy unit economics</t>
  </si>
  <si>
    <t>CAC Payback Period</t>
  </si>
  <si>
    <t>Months to recover acquisition cost</t>
  </si>
  <si>
    <t>INVESTOR SCORECARD</t>
  </si>
  <si>
    <t>KPI</t>
  </si>
  <si>
    <t>Benchmark</t>
  </si>
  <si>
    <t>Assessment</t>
  </si>
  <si>
    <t>&gt; 3.0x</t>
  </si>
  <si>
    <t>EXCELLENT</t>
  </si>
  <si>
    <t>&lt; 6 months</t>
  </si>
  <si>
    <t>STRONG</t>
  </si>
  <si>
    <t>&gt; 50%</t>
  </si>
  <si>
    <t>WASEL — 12-MONTH CASH FLOW STATEMENT</t>
  </si>
  <si>
    <t>All figures in Jordanian Dinars (JOD)  |  Tracks actual cash in/out including pre-launch capital</t>
  </si>
  <si>
    <t>Pre-Launch</t>
  </si>
  <si>
    <t>CASH INFLOWS</t>
  </si>
  <si>
    <t xml:space="preserve">  Seed Capital / Founder Investment</t>
  </si>
  <si>
    <t xml:space="preserve">  Subscription Revenue (Cash)</t>
  </si>
  <si>
    <t>Total Cash Inflows</t>
  </si>
  <si>
    <t>CASH OUTFLOWS</t>
  </si>
  <si>
    <t xml:space="preserve">  App Development (MVP)</t>
  </si>
  <si>
    <t xml:space="preserve">  LTRC License Fee (Upfront)</t>
  </si>
  <si>
    <t xml:space="preserve">  Bank Guarantee Deposit</t>
  </si>
  <si>
    <t xml:space="preserve">  Company Registration &amp; Legal</t>
  </si>
  <si>
    <t xml:space="preserve">  Pre-Launch Marketing</t>
  </si>
  <si>
    <t xml:space="preserve">  Cost of Revenue (Variable)</t>
  </si>
  <si>
    <t xml:space="preserve">  Operating Expenses (Fixed + Semi)</t>
  </si>
  <si>
    <t>Total Cash Outflows</t>
  </si>
  <si>
    <t>NET CASH FLOW</t>
  </si>
  <si>
    <t>Opening Cash Balance</t>
  </si>
  <si>
    <t>Net Cash Flow</t>
  </si>
  <si>
    <t>CLOSING CASH BALANCE</t>
  </si>
  <si>
    <t>CASH RUNWAY ANALYSIS</t>
  </si>
  <si>
    <t>Monthly Cash Burn / Generation</t>
  </si>
  <si>
    <t>Cumulative Cash Burn</t>
  </si>
  <si>
    <t>Months of Runway Remaining</t>
  </si>
  <si>
    <t>KEY CASH METRICS</t>
  </si>
  <si>
    <t>Pre-Launch Capital</t>
  </si>
  <si>
    <t>Year 1 Total Revenue (Cash In)</t>
  </si>
  <si>
    <t>Year 1 Closing Cash Balance</t>
  </si>
  <si>
    <t>Year 1 Total Outflows</t>
  </si>
  <si>
    <t>Peak Monthly Burn</t>
  </si>
  <si>
    <t>Avg Monthly Burn (M1-M12)</t>
  </si>
  <si>
    <t>Additional Funding Required</t>
  </si>
  <si>
    <t>Recommended Raise (Burn + 30% Buffer)</t>
  </si>
  <si>
    <t>Recommended Raise (USD)</t>
  </si>
  <si>
    <t>Runway After Raise (months)</t>
  </si>
  <si>
    <t>5-YEAR CASH FLOW PROJECTION</t>
  </si>
  <si>
    <t>All figures in Jordanian Dinars (JOD)  |  Year 1 from Monthly P&amp;L, Years 2-5 from Multi-Year Projections</t>
  </si>
  <si>
    <t>Year 1</t>
  </si>
  <si>
    <t>Year 2</t>
  </si>
  <si>
    <t>Year 3</t>
  </si>
  <si>
    <t>Year 4</t>
  </si>
  <si>
    <t>Year 5</t>
  </si>
  <si>
    <t>5-Yr Total</t>
  </si>
  <si>
    <t xml:space="preserve">  Seed Capital / Investment</t>
  </si>
  <si>
    <t xml:space="preserve">  Subscription Revenue</t>
  </si>
  <si>
    <t xml:space="preserve">  Ancillary Revenue</t>
  </si>
  <si>
    <t xml:space="preserve">  Pre-Launch CapEx</t>
  </si>
  <si>
    <t xml:space="preserve">  Cost of Revenue</t>
  </si>
  <si>
    <t xml:space="preserve">  Operating Expenses</t>
  </si>
  <si>
    <t>Free Cash Flow (EBITDA - CapEx)</t>
  </si>
  <si>
    <t>FCF Margin %</t>
  </si>
  <si>
    <t>Cash Positive Year</t>
  </si>
  <si>
    <t>WASEL — STRESS TESTS &amp; SENSITIVITY ANALYSIS</t>
  </si>
  <si>
    <t>Impact analysis on Year 1 financials under adverse scenarios  |  Updated for 3-tier cohort model</t>
  </si>
  <si>
    <t>SCENARIO 1: TRANSITION CHURN SENSITIVITY</t>
  </si>
  <si>
    <t>Base Case</t>
  </si>
  <si>
    <t>M0→50% churn</t>
  </si>
  <si>
    <t>M0→50%, M2+ 10%</t>
  </si>
  <si>
    <t>All churn 2x</t>
  </si>
  <si>
    <t>M0→M1 Churn</t>
  </si>
  <si>
    <t>First payment wall is #1 risk</t>
  </si>
  <si>
    <t>M2+ Ongoing Churn</t>
  </si>
  <si>
    <t>Higher ongoing attrition</t>
  </si>
  <si>
    <t>Est. EoY Active Drivers</t>
  </si>
  <si>
    <t>Churn is the #1 risk to the model</t>
  </si>
  <si>
    <t>Planned</t>
  </si>
  <si>
    <t>Manageable</t>
  </si>
  <si>
    <t>Concerning</t>
  </si>
  <si>
    <t>Critical</t>
  </si>
  <si>
    <t>Low pricing mitigates churn pressure</t>
  </si>
  <si>
    <t>SCENARIO 2: COMBINED DOWNSIDE STRESS TEST</t>
  </si>
  <si>
    <t>Stress Factor</t>
  </si>
  <si>
    <t>Downside</t>
  </si>
  <si>
    <t>M0→M1 retention</t>
  </si>
  <si>
    <t>75% survive</t>
  </si>
  <si>
    <t>50% survive</t>
  </si>
  <si>
    <t>~30% fewer drivers reach full pricing</t>
  </si>
  <si>
    <t>M2+ ongoing churn</t>
  </si>
  <si>
    <t>4%/mo</t>
  </si>
  <si>
    <t>10%/mo</t>
  </si>
  <si>
    <t>Active driver pool shrinks faster</t>
  </si>
  <si>
    <t>Mandatory insurance increase</t>
  </si>
  <si>
    <t>JD 8.65/driver/mo</t>
  </si>
  <si>
    <t>JD 20/driver/mo</t>
  </si>
  <si>
    <t>~JD 120K additional cost/yr at scale</t>
  </si>
  <si>
    <t>Avg trips per driver per day</t>
  </si>
  <si>
    <t>9 trips/day</t>
  </si>
  <si>
    <t>Reduces driver income → may increase churn</t>
  </si>
  <si>
    <t>Combined Impact</t>
  </si>
  <si>
    <t>Base Case (Y1)</t>
  </si>
  <si>
    <t>All-Downside (Y1)</t>
  </si>
  <si>
    <t>Δ Change</t>
  </si>
  <si>
    <t>End-of-Year Active Drivers</t>
  </si>
  <si>
    <t>Annual Revenue (JOD)</t>
  </si>
  <si>
    <t>Annual Net Income (JOD)</t>
  </si>
  <si>
    <t>Losses expected Y1; funded by seed</t>
  </si>
  <si>
    <t>CRITICAL: Requires bridge funding</t>
  </si>
  <si>
    <t>SCENARIO 3: SUBSCRIPTION FEE SENSITIVITY (BLENDED M2+ FEE)</t>
  </si>
  <si>
    <t>JD 22/mo</t>
  </si>
  <si>
    <t>JD 27/mo</t>
  </si>
  <si>
    <t>JD 32.25 (Base)</t>
  </si>
  <si>
    <t>JD 38/mo</t>
  </si>
  <si>
    <t>JD 45/mo</t>
  </si>
  <si>
    <t>Blended Monthly Fee (JOD)</t>
  </si>
  <si>
    <t>Est. Annual Revenue (JOD)</t>
  </si>
  <si>
    <t>vs Base Case Revenue</t>
  </si>
  <si>
    <t>BASE</t>
  </si>
  <si>
    <t>Fee as % of Driver Gross (~JD 520/mo)</t>
  </si>
  <si>
    <t>vs 30% at Uber/Careem</t>
  </si>
  <si>
    <t>SCENARIO 4: BREAK-EVEN BY ACTIVE M2+ DRIVER COUNT</t>
  </si>
  <si>
    <t>Active M2+ Drivers</t>
  </si>
  <si>
    <t>Monthly Revenue</t>
  </si>
  <si>
    <t>Monthly COGS</t>
  </si>
  <si>
    <t>Monthly OPEX</t>
  </si>
  <si>
    <t>Monthly P&amp;L</t>
  </si>
  <si>
    <t>Status</t>
  </si>
  <si>
    <t>❌ Loss</t>
  </si>
  <si>
    <t>Break-even requires ~1,200 active M2+ drivers paying full tier pricing (excl. M0/M1 onboarding drivers)</t>
  </si>
  <si>
    <t>SCENARIO 5: UNIT ECONOMICS SENSITIVITY (INVESTOR STRESS TEST)</t>
  </si>
  <si>
    <t>What happens to LTV/CAC when churn assumptions worsen?</t>
  </si>
  <si>
    <t>Mature Churn Rate (M6+)</t>
  </si>
  <si>
    <t>LTV/CAC</t>
  </si>
  <si>
    <t>Survives?</t>
  </si>
  <si>
    <t>✅ Yes — LTV/CAC &gt;3x</t>
  </si>
  <si>
    <t>✅ Base case — strong</t>
  </si>
  <si>
    <t>✅ Still healthy (&gt;3x)</t>
  </si>
  <si>
    <t>✅ Acceptable</t>
  </si>
  <si>
    <t>⚠️ Borderline at 3.7x</t>
  </si>
  <si>
    <t>⚠️ Marginal — review spending</t>
  </si>
  <si>
    <t>❌ No — LTV/CAC &lt;3x</t>
  </si>
  <si>
    <t>❌ Unit economics break down</t>
  </si>
  <si>
    <t>Takeaway: Model survives up to ~10% mature churn before LTV/CAC drops below 3x threshold.</t>
  </si>
  <si>
    <t>SCENARIO 6: FUNDING GAP &amp; RUNWAY ANALYSIS</t>
  </si>
  <si>
    <t>How much capital is really needed, and when does the model require it?</t>
  </si>
  <si>
    <t>Pre-Launch Capital (Seed)</t>
  </si>
  <si>
    <t>Covers MVP, license, bank guarantee, marketing</t>
  </si>
  <si>
    <t>Year 1 Operating Cash Burn</t>
  </si>
  <si>
    <t>Revenue ramp cannot cover OPEX + regulatory in Y1</t>
  </si>
  <si>
    <t>Total Y1 Capital Required</t>
  </si>
  <si>
    <t>Total: pre-launch + operating burn</t>
  </si>
  <si>
    <t>Funding Gap (Seed - Required)</t>
  </si>
  <si>
    <t>Additional capital needed beyond seed</t>
  </si>
  <si>
    <t>Bridge/Series A to reach profitability</t>
  </si>
  <si>
    <t>Est. Months of Runway (post-raise)</t>
  </si>
  <si>
    <t>Based on peak monthly burn rate</t>
  </si>
  <si>
    <t>SCENARIO 7: JORDAN MARKET REALITY CHECK</t>
  </si>
  <si>
    <t>Key assumptions benchmarked against Jordan ride-hailing market data</t>
  </si>
  <si>
    <t>Assumption</t>
  </si>
  <si>
    <t>Model Value</t>
  </si>
  <si>
    <t>Jordan Benchmark</t>
  </si>
  <si>
    <t>Risk Level</t>
  </si>
  <si>
    <t>Investor Note</t>
  </si>
  <si>
    <t>Avg fare per trip</t>
  </si>
  <si>
    <t>JD 2.50</t>
  </si>
  <si>
    <t>JD 2-3 (Amman taxis)</t>
  </si>
  <si>
    <t>✅ Low</t>
  </si>
  <si>
    <t>Well within observed range</t>
  </si>
  <si>
    <t>Driver trips/day</t>
  </si>
  <si>
    <t>9 (blended)</t>
  </si>
  <si>
    <t>6-10 (Uber/Careem Amman)</t>
  </si>
  <si>
    <t>Conservative blended estimate</t>
  </si>
  <si>
    <t>Cash payment %</t>
  </si>
  <si>
    <t>60-70% (JCB 2024)</t>
  </si>
  <si>
    <t>Aligned with Jordan's cash economy</t>
  </si>
  <si>
    <t>Monthly driver growth</t>
  </si>
  <si>
    <t>30% MoM</t>
  </si>
  <si>
    <t>15-25% (MENA startups); 30% justified by validated driver pain point</t>
  </si>
  <si>
    <t>✅ Validated</t>
  </si>
  <si>
    <t>Driver community validation; solving real social pain (30% commission vs flat fee)</t>
  </si>
  <si>
    <t>Mature churn (M6+)</t>
  </si>
  <si>
    <t>2%/mo</t>
  </si>
  <si>
    <t>3-5% (subscription apps MENA)</t>
  </si>
  <si>
    <t>Conservative; insurance lock-in supports retention</t>
  </si>
  <si>
    <t>WASEL — 5-YEAR FINANCIAL PROJECTIONS</t>
  </si>
  <si>
    <t>All figures in Jordanian Dinars (JOD)  |  USD equivalent at 1 JOD = $1.41  |  Cohort model</t>
  </si>
  <si>
    <t>5-Yr CAGR</t>
  </si>
  <si>
    <t>GROWTH ASSUMPTIONS</t>
  </si>
  <si>
    <t>Annual Net Driver Growth Rate</t>
  </si>
  <si>
    <t>Blended Fee Growth (Tier Mix Shift)</t>
  </si>
  <si>
    <t>Fixed OPEX Growth Rate</t>
  </si>
  <si>
    <t>Cities Operating</t>
  </si>
  <si>
    <t>Ancillary Revenue / Driver / Mo (JOD)</t>
  </si>
  <si>
    <t>KEY OPERATING METRICS</t>
  </si>
  <si>
    <t>Active Drivers (End of Year)</t>
  </si>
  <si>
    <t>Avg Active Drivers (Annual)</t>
  </si>
  <si>
    <t>Blended Monthly Fee / Driver (JOD)</t>
  </si>
  <si>
    <t>Team Headcount</t>
  </si>
  <si>
    <t xml:space="preserve">  Ancillary Revenue (Ads, Data, Partnerships)</t>
  </si>
  <si>
    <t xml:space="preserve">  YoY Revenue Growth</t>
  </si>
  <si>
    <t>COST OF REVENUE</t>
  </si>
  <si>
    <t xml:space="preserve">  Payment Processing Fees</t>
  </si>
  <si>
    <t xml:space="preserve">  Cloud &amp; Tech Infrastructure</t>
  </si>
  <si>
    <t>OPERATING EXPENSES</t>
  </si>
  <si>
    <t xml:space="preserve">  OPEX Variance Adjustment (Y1 only)</t>
  </si>
  <si>
    <t xml:space="preserve">  EBITDA Margin %</t>
  </si>
  <si>
    <t>Depreciation &amp; Amortization</t>
  </si>
  <si>
    <t>Interest Expense</t>
  </si>
  <si>
    <t>NET INCOME</t>
  </si>
  <si>
    <t xml:space="preserve">  Net Margin %</t>
  </si>
  <si>
    <t>Cumulative Net Income</t>
  </si>
  <si>
    <t>KEY METRICS &amp; RATIOS</t>
  </si>
  <si>
    <t xml:space="preserve">  Revenue per Driver (Annual)</t>
  </si>
  <si>
    <t xml:space="preserve">  COGS as % of Revenue</t>
  </si>
  <si>
    <t xml:space="preserve">  OPEX as % of Revenue</t>
  </si>
  <si>
    <t xml:space="preserve">  YoY Revenue Growth %</t>
  </si>
  <si>
    <t xml:space="preserve">  Break-Even Year</t>
  </si>
  <si>
    <t xml:space="preserve">  Cumulative Payback Year</t>
  </si>
  <si>
    <t>5-YEAR TOTALS</t>
  </si>
  <si>
    <t xml:space="preserve">  Total Revenue (5Y)</t>
  </si>
  <si>
    <t xml:space="preserve">  Total Net Income (5Y)</t>
  </si>
  <si>
    <t xml:space="preserve">  5Y Revenue CAGR</t>
  </si>
  <si>
    <t>STRATEGIC GROWTH LEVERS — HOW TO RAISE NUMBERS</t>
  </si>
  <si>
    <t>GAP ANALYSIS</t>
  </si>
  <si>
    <t>Current Path</t>
  </si>
  <si>
    <t>Target</t>
  </si>
  <si>
    <t>Gap</t>
  </si>
  <si>
    <t>Solution</t>
  </si>
  <si>
    <t xml:space="preserve">  Year 5 Active Drivers</t>
  </si>
  <si>
    <t>Jordan multi-city Y1 + Iraq/Egypt Y2-Y3 expansion</t>
  </si>
  <si>
    <t xml:space="preserve">  Year 1 Revenue</t>
  </si>
  <si>
    <t>Faster onboarding: 2-week M0 + referral incentives</t>
  </si>
  <si>
    <t xml:space="preserve">  Year 5 Revenue</t>
  </si>
  <si>
    <t>Regional expansion + ancillary revenue + tier upsell</t>
  </si>
  <si>
    <t>RECOMMENDED GROWTH INITIATIVES</t>
  </si>
  <si>
    <t>Timeline</t>
  </si>
  <si>
    <t>Effort</t>
  </si>
  <si>
    <t>Revenue Uplift Est.</t>
  </si>
  <si>
    <t>1. Multi-City Jordan Expansion (Irbid, Zarqa, Aqaba in Y1)</t>
  </si>
  <si>
    <t>HIGH</t>
  </si>
  <si>
    <t>Y1-Y2</t>
  </si>
  <si>
    <t>High</t>
  </si>
  <si>
    <t>+JD 2-4M/yr by Y5</t>
  </si>
  <si>
    <t xml:space="preserve">    → Jordan cities add 2,000-3,000 drivers; validates model before regional expansion</t>
  </si>
  <si>
    <t>2. Accelerated Onboarding (2-week M0 instead of 1 month)</t>
  </si>
  <si>
    <t>MEDIUM</t>
  </si>
  <si>
    <t>Y1-Q2</t>
  </si>
  <si>
    <t>Low</t>
  </si>
  <si>
    <t>+JD 80-120K/yr Y1</t>
  </si>
  <si>
    <t xml:space="preserve">    → Faster transition to paid tiers = higher Y1 revenue</t>
  </si>
  <si>
    <t>3. Tier Upsell Program (Shift mix to 35%/40%/25%)</t>
  </si>
  <si>
    <t>Y2+</t>
  </si>
  <si>
    <t>Medium</t>
  </si>
  <si>
    <t>+JD 3-5 ARPU/mo</t>
  </si>
  <si>
    <t xml:space="preserve">    → Blended fee rises from JD 32.25 to ~JD 36.50</t>
  </si>
  <si>
    <t>4. Ancillary Revenue Streams (Delivery, Corporate, Ads)</t>
  </si>
  <si>
    <t>Y2-Y3</t>
  </si>
  <si>
    <t>+JD 500K-1.5M/yr by Y4</t>
  </si>
  <si>
    <t xml:space="preserve">    → Detailed in Future Revenue Streams tab (Phase 7)</t>
  </si>
  <si>
    <t>5. Referral Bonuses &amp; Driver Incentives</t>
  </si>
  <si>
    <t>Y1-Q1</t>
  </si>
  <si>
    <t>+30-50% driver growth rate</t>
  </si>
  <si>
    <t>WASEL — EXECUTIVE SUMMARY</t>
  </si>
  <si>
    <t>Subscription-Based Ride-Hailing Platform  |  Amman, Jordan  |  3-Tier Model with Graduated Onboarding</t>
  </si>
  <si>
    <t>COMPANY OVERVIEW</t>
  </si>
  <si>
    <t>Wasel is a subscription-based ride-hailing platform launching in Amman, Jordan. Unlike Uber and Careem, which charge</t>
  </si>
  <si>
    <t>drivers a 30% commission per ride, Wasel charges a low flat monthly subscription fee and lets drivers keep 100% of their</t>
  </si>
  <si>
    <t>fares. Drivers enter through a graduated onboarding program (free trial → ramp → full tier) to reduce friction and churn.</t>
  </si>
  <si>
    <t>MARKET OPPORTUNITY</t>
  </si>
  <si>
    <t>Amman (4.5M metro)</t>
  </si>
  <si>
    <t>Jordan Ride-Hailing Market (2025)</t>
  </si>
  <si>
    <t>$61.5M</t>
  </si>
  <si>
    <t>Estimated Addressable Drivers</t>
  </si>
  <si>
    <t>Market Growth Rate (CAGR)</t>
  </si>
  <si>
    <t>Seed Drivers (Month 1)</t>
  </si>
  <si>
    <t>Competitors</t>
  </si>
  <si>
    <t>Uber, Careem, Jeeny</t>
  </si>
  <si>
    <t>3-TIER SUBSCRIPTION MODEL</t>
  </si>
  <si>
    <t>Fee (USD)</t>
  </si>
  <si>
    <t>Trips/Day Cap</t>
  </si>
  <si>
    <t>Driver Mix</t>
  </si>
  <si>
    <t>Sub as % of Gross</t>
  </si>
  <si>
    <t>Net Driver Income</t>
  </si>
  <si>
    <t>Blended Average</t>
  </si>
  <si>
    <t>Pricing Edge: A driver earning JD 520/month gross pays just JD 32.25 (6.2%) vs. Uber/Careem's 30% commission (JD 156). Drivers save JD 124/month — a 79% reduction.</t>
  </si>
  <si>
    <t>Fee (JOD)</t>
  </si>
  <si>
    <t>Purpose</t>
  </si>
  <si>
    <t>M0 — Trial</t>
  </si>
  <si>
    <t>Zero-risk trial to build trust</t>
  </si>
  <si>
    <t>M1 — Ramp</t>
  </si>
  <si>
    <t>Low-cost transition to paid model</t>
  </si>
  <si>
    <t>M2+ — Full Tier</t>
  </si>
  <si>
    <t>JD 20-55</t>
  </si>
  <si>
    <t>Full pricing, auto-assigned tier</t>
  </si>
  <si>
    <t>M6+ — Mature</t>
  </si>
  <si>
    <t>Loyal drivers, lowest churn</t>
  </si>
  <si>
    <t>5-YEAR FINANCIAL HIGHLIGHTS</t>
  </si>
  <si>
    <t>Active Drivers (EoY)</t>
  </si>
  <si>
    <t>Total Revenue (JOD)</t>
  </si>
  <si>
    <t>EBITDA (JOD)</t>
  </si>
  <si>
    <t>Net Income (JOD)</t>
  </si>
  <si>
    <t>Cumulative Net Income (JOD)</t>
  </si>
  <si>
    <t>UNIT ECONOMICS &amp; INVESTOR SCORECARD</t>
  </si>
  <si>
    <t>Rating</t>
  </si>
  <si>
    <t>LTV per Driver (JOD)</t>
  </si>
  <si>
    <t>&gt; JD 200</t>
  </si>
  <si>
    <t>✅ Excellent</t>
  </si>
  <si>
    <t>Break-Even Year</t>
  </si>
  <si>
    <t>CAC per Driver (JOD)</t>
  </si>
  <si>
    <t>&lt; JD 50</t>
  </si>
  <si>
    <t>✅ Strong</t>
  </si>
  <si>
    <t>Cumulative Payback Year</t>
  </si>
  <si>
    <t>&gt; 3x</t>
  </si>
  <si>
    <t>5Y Revenue CAGR</t>
  </si>
  <si>
    <t>CAC Payback (months)</t>
  </si>
  <si>
    <t>&lt; 12 months</t>
  </si>
  <si>
    <t>5Y Cumulative Net Income</t>
  </si>
  <si>
    <t>Contribution Margin / Driver</t>
  </si>
  <si>
    <t>&gt; JD 15</t>
  </si>
  <si>
    <t>Pre-Launch Capital (JOD)</t>
  </si>
  <si>
    <t>FUNDING &amp; CAPITAL REQUIREMENTS</t>
  </si>
  <si>
    <t>Tech, legal, regulatory, initial marketing</t>
  </si>
  <si>
    <t>Year 1 Cash Burn (Net)</t>
  </si>
  <si>
    <t>Heaviest burn year (startup costs + ramp)</t>
  </si>
  <si>
    <t>Recommended Seed Round</t>
  </si>
  <si>
    <t>Burn + 30% buffer for 18-month runway</t>
  </si>
  <si>
    <t>KEY RISKS &amp; MITIGANTS</t>
  </si>
  <si>
    <t>Risk</t>
  </si>
  <si>
    <t>Severity</t>
  </si>
  <si>
    <t>Mitigant</t>
  </si>
  <si>
    <t>Regulatory delay (LTRC license)</t>
  </si>
  <si>
    <t>JD 158K regulatory budget; legal counsel engaged pre-launch</t>
  </si>
  <si>
    <t>Driver churn exceeds projections</t>
  </si>
  <si>
    <t>Graduated onboarding filters uncommitted; 2% mature churn with insurance lock-in</t>
  </si>
  <si>
    <t>Competitor price war (Uber/Careem)</t>
  </si>
  <si>
    <t>Wasel's flat fee is structurally cheaper; 79% savings vs commission model</t>
  </si>
  <si>
    <t>Slower driver adoption</t>
  </si>
  <si>
    <t>LOW</t>
  </si>
  <si>
    <t>Break-even at just 1,500 M2+ drivers (Stress Tests); referral program accelerates growth</t>
  </si>
  <si>
    <t>Single-city concentration</t>
  </si>
  <si>
    <t>Jordan multi-city expansion Y1 (Irbid, Zarqa, Aqaba); Iraq/Egypt from Y2-Y3</t>
  </si>
  <si>
    <t>THE INVESTMENT THESIS</t>
  </si>
  <si>
    <t>✅  Massive driver savings: JD 124/month vs. commission model (79% cheaper)</t>
  </si>
  <si>
    <t>✅  Strong unit economics: LTV/CAC of 13.9x with 2.5-month payback</t>
  </si>
  <si>
    <t>✅  Graduated onboarding reduces churn: 25% trial dropout filters to 2% mature churn</t>
  </si>
  <si>
    <t>✅  Fast path to profitability: Net income positive by Year 2, cumulative payback by Year 3</t>
  </si>
  <si>
    <t>✅  Scalable model: 152% revenue CAGR with JD 6.6M cumulative net income over 5 years</t>
  </si>
  <si>
    <t>✅  Regional expansion: Amman → 3 Jordan cities Y1 → Iraq JV + Egypt Y2-Y3 → 8 markets by Y5</t>
  </si>
  <si>
    <t>For detailed projections, see: Assumptions | Tiered Plans | Monthly P&amp;L | Unit Economics | Cash Flow | Stress Tests | Multi-Year Projections</t>
  </si>
  <si>
    <t>WASEL — REGIONAL EXPANSION STRATEGY &amp; PILOT PROJECTIONS</t>
  </si>
  <si>
    <t>Phased rollout across non-GCC Arab markets — where drivers need Wasel most</t>
  </si>
  <si>
    <t>EXPANSION ROADMAP OVERVIEW</t>
  </si>
  <si>
    <t>Market</t>
  </si>
  <si>
    <t>Population</t>
  </si>
  <si>
    <t>Est. Market Size</t>
  </si>
  <si>
    <t>Pilot Drivers</t>
  </si>
  <si>
    <t>Year 1, Q3</t>
  </si>
  <si>
    <t>Priority</t>
  </si>
  <si>
    <t>Irbid, Jordan</t>
  </si>
  <si>
    <t>2.1M</t>
  </si>
  <si>
    <t>$18M</t>
  </si>
  <si>
    <t>Year 2, Q1</t>
  </si>
  <si>
    <t>Year 1, Q4</t>
  </si>
  <si>
    <t>🔴 Critical</t>
  </si>
  <si>
    <t>Zarqa, Jordan</t>
  </si>
  <si>
    <t>1.5M</t>
  </si>
  <si>
    <t>$12M</t>
  </si>
  <si>
    <t>Year 2, Q2</t>
  </si>
  <si>
    <t>Aqaba, Jordan</t>
  </si>
  <si>
    <t>0.2M</t>
  </si>
  <si>
    <t>$5M</t>
  </si>
  <si>
    <t>Year 2, Q3</t>
  </si>
  <si>
    <t>✅ High</t>
  </si>
  <si>
    <t>🟡 High</t>
  </si>
  <si>
    <t>Iraq (Baghdad, Erbil, Basra)</t>
  </si>
  <si>
    <t>44M</t>
  </si>
  <si>
    <t>$120M+</t>
  </si>
  <si>
    <t>Year 3, Q1</t>
  </si>
  <si>
    <t>Egypt (Cairo, Alexandria, Giza)</t>
  </si>
  <si>
    <t>110M</t>
  </si>
  <si>
    <t>$1.84B</t>
  </si>
  <si>
    <t>Year 3, Q3</t>
  </si>
  <si>
    <t>Palestine (Ramallah, Hebron)</t>
  </si>
  <si>
    <t>5.5M</t>
  </si>
  <si>
    <t>$15–25M</t>
  </si>
  <si>
    <t>Year 3, Q4</t>
  </si>
  <si>
    <t>⚠️ Low</t>
  </si>
  <si>
    <t>Year 4, Q1</t>
  </si>
  <si>
    <t>Syria (Damascus, Aleppo)</t>
  </si>
  <si>
    <t>23M</t>
  </si>
  <si>
    <t>$200M (post-stabilization)</t>
  </si>
  <si>
    <t>Year 5+</t>
  </si>
  <si>
    <t>❌ Very Low — monitor reconstruction progress</t>
  </si>
  <si>
    <t>🔵 Long-term</t>
  </si>
  <si>
    <t>$200M (post-stab.)</t>
  </si>
  <si>
    <t>❌ Very Low</t>
  </si>
  <si>
    <t>🔵 Monitor</t>
  </si>
  <si>
    <t>Libya &amp; Sudan</t>
  </si>
  <si>
    <t>55M</t>
  </si>
  <si>
    <t>$300M (combined)</t>
  </si>
  <si>
    <t>TOTAL ADDRESSABLE MARKET</t>
  </si>
  <si>
    <t>Strategic Logic: GCC markets (UAE, Saudi, Qatar) have higher wages — commission models are tolerable. Our sweet spot is the non-GCC Arab world:</t>
  </si>
  <si>
    <t>low wages, cash-heavy economies, high unemployment, and millions of drivers for whom keeping 100% of fares is a lifeline.</t>
  </si>
  <si>
    <t>DETAILED PILOT PROJECTION: IRAQ</t>
  </si>
  <si>
    <t>Largest non-GCC Arab market — 44M population, massive informal transport sector, JV model with local Iraqi partner</t>
  </si>
  <si>
    <t>MARKET PROFILE</t>
  </si>
  <si>
    <t>COMPETITIVE LANDSCAPE</t>
  </si>
  <si>
    <t>44 million</t>
  </si>
  <si>
    <t>Dominant Apps</t>
  </si>
  <si>
    <t>Careem, Lezzoo, Baly</t>
  </si>
  <si>
    <t>GDP Per Capita</t>
  </si>
  <si>
    <t>~$5,500</t>
  </si>
  <si>
    <t>Commission Rate</t>
  </si>
  <si>
    <t>25–30%</t>
  </si>
  <si>
    <t>Ride-Hailing Market</t>
  </si>
  <si>
    <t>$120M+ est.</t>
  </si>
  <si>
    <t>Driver Pain Point</t>
  </si>
  <si>
    <t>High commission, low wages</t>
  </si>
  <si>
    <t>Currency</t>
  </si>
  <si>
    <t>Iraqi Dinar (IQD)</t>
  </si>
  <si>
    <t>Digital Payments</t>
  </si>
  <si>
    <t>~15% (cash dominant)</t>
  </si>
  <si>
    <t>Avg Driver Daily Earnings</t>
  </si>
  <si>
    <t>~$15–25/day</t>
  </si>
  <si>
    <t>Regulatory</t>
  </si>
  <si>
    <t>Evolving, city-level permits</t>
  </si>
  <si>
    <t>Key Cities</t>
  </si>
  <si>
    <t>Baghdad, Erbil, Basra</t>
  </si>
  <si>
    <t>Wasel Advantage</t>
  </si>
  <si>
    <t>0% commission = game changer</t>
  </si>
  <si>
    <t>Payment Infrastructure</t>
  </si>
  <si>
    <t>Cash 85%, Digital 15%</t>
  </si>
  <si>
    <t>Go/No-Go Criteria</t>
  </si>
  <si>
    <t>600+ signups in 30 days (JV partner network)</t>
  </si>
  <si>
    <t>IRAQ PILOT — 3-YEAR QUARTERLY PROJECTION (USD)</t>
  </si>
  <si>
    <t>Q1 (Launch)</t>
  </si>
  <si>
    <t>Q2</t>
  </si>
  <si>
    <t>Q3</t>
  </si>
  <si>
    <t>Q4</t>
  </si>
  <si>
    <t>Year 2 Total</t>
  </si>
  <si>
    <t>DRIVER METRICS</t>
  </si>
  <si>
    <t>New Driver Signups</t>
  </si>
  <si>
    <t>Churn (quarterly)</t>
  </si>
  <si>
    <t>Active Drivers (end of Q)</t>
  </si>
  <si>
    <t>REVENUE ($)</t>
  </si>
  <si>
    <t>Ancillary Revenue (ads, data)</t>
  </si>
  <si>
    <t>COSTS ($)</t>
  </si>
  <si>
    <t>Pre-Launch &amp; Setup (JV: 50/50 split)</t>
  </si>
  <si>
    <t>Operations &amp; Staff (local team)</t>
  </si>
  <si>
    <t>Marketing &amp; Driver Acquisition</t>
  </si>
  <si>
    <t>Tech &amp; Platform (local adapt.)</t>
  </si>
  <si>
    <t>Total Costs</t>
  </si>
  <si>
    <t>Cumulative P&amp;L</t>
  </si>
  <si>
    <t xml:space="preserve">I </t>
  </si>
  <si>
    <t>KEY METRICS</t>
  </si>
  <si>
    <t>ARPU (avg rev per driver/qtr)</t>
  </si>
  <si>
    <t>Net Margin (%)</t>
  </si>
  <si>
    <t>DETAILED PILOT PROJECTION: EGYPT</t>
  </si>
  <si>
    <t>Largest Arab market by population — 110M people, $1.84B ride-hailing market, massive Uber/Careem driver frustration</t>
  </si>
  <si>
    <t>110 million</t>
  </si>
  <si>
    <t>Uber, Careem, Swvl, inDrive</t>
  </si>
  <si>
    <t>~$3,800</t>
  </si>
  <si>
    <t>EGP devaluation + high fees</t>
  </si>
  <si>
    <t>Egyptian Pound (EGP)</t>
  </si>
  <si>
    <t>~25% (growing fast)</t>
  </si>
  <si>
    <t>~$10–18/day</t>
  </si>
  <si>
    <t>TRA licensing required</t>
  </si>
  <si>
    <t>Cairo, Alexandria, Giza</t>
  </si>
  <si>
    <t>0% commission in low-wage market</t>
  </si>
  <si>
    <t>Est. Subscription Price</t>
  </si>
  <si>
    <t>EGYPT PILOT — 3-YEAR QUARTERLY PROJECTION (USD)</t>
  </si>
  <si>
    <t>Ancillary Revenue</t>
  </si>
  <si>
    <t>Pre-Launch &amp; Setup</t>
  </si>
  <si>
    <t>Operations &amp; Staff</t>
  </si>
  <si>
    <t>Marketing &amp; Acquisition</t>
  </si>
  <si>
    <t>Tech &amp; Platform (Arabic adapt.)</t>
  </si>
  <si>
    <t>CONSOLIDATED EXPANSION INVESTMENT SUMMARY</t>
  </si>
  <si>
    <t>Capital requirements, team sizing, and profitability timeline by market</t>
  </si>
  <si>
    <t>Pilot Capital</t>
  </si>
  <si>
    <t>Team Size</t>
  </si>
  <si>
    <t>Break-Even</t>
  </si>
  <si>
    <t>Y1 Net Income</t>
  </si>
  <si>
    <t>Y2 Net Income</t>
  </si>
  <si>
    <t>Y2 Drivers</t>
  </si>
  <si>
    <t>PHASE 1 — JORDAN DOMESTIC</t>
  </si>
  <si>
    <t>Irbid</t>
  </si>
  <si>
    <t>$50K</t>
  </si>
  <si>
    <t>$18K</t>
  </si>
  <si>
    <t>$95K</t>
  </si>
  <si>
    <t>Zarqa</t>
  </si>
  <si>
    <t>$40K</t>
  </si>
  <si>
    <t>$12K</t>
  </si>
  <si>
    <t>$72K</t>
  </si>
  <si>
    <t>Aqaba</t>
  </si>
  <si>
    <t>$30K</t>
  </si>
  <si>
    <t>$8K</t>
  </si>
  <si>
    <t>$45K</t>
  </si>
  <si>
    <t>PHASE 2 — REGIONAL</t>
  </si>
  <si>
    <t>$120K (JV: 50/50)</t>
  </si>
  <si>
    <t>Quarter 2</t>
  </si>
  <si>
    <t>Egypt (Cairo, Alex., Giza)</t>
  </si>
  <si>
    <t>$215K</t>
  </si>
  <si>
    <t>$60K</t>
  </si>
  <si>
    <t>$5K</t>
  </si>
  <si>
    <t>$38K</t>
  </si>
  <si>
    <t>PHASE 3 — EMERGING (CONTINGENT)</t>
  </si>
  <si>
    <t>Lebanon, Syria, Libya, Sudan</t>
  </si>
  <si>
    <t>$100–200K each</t>
  </si>
  <si>
    <t>5-8 each</t>
  </si>
  <si>
    <t>TBD</t>
  </si>
  <si>
    <t>TOTAL EXPANSION INVESTMENT</t>
  </si>
  <si>
    <t>$705K–$1.0M</t>
  </si>
  <si>
    <t>35–50 staff</t>
  </si>
  <si>
    <t>6–10 months avg</t>
  </si>
  <si>
    <t>$152K+</t>
  </si>
  <si>
    <t>$1.4M+</t>
  </si>
  <si>
    <t>20,000+</t>
  </si>
  <si>
    <t>GO / NO-GO DECISION FRAMEWORK</t>
  </si>
  <si>
    <t>Criteria</t>
  </si>
  <si>
    <t>✅ GO Signal</t>
  </si>
  <si>
    <t>⚠️ PAUSE Signal</t>
  </si>
  <si>
    <t>❌ NO-GO Signal</t>
  </si>
  <si>
    <t>Pre-Launch Signups (30 days)</t>
  </si>
  <si>
    <t>&gt; 500 drivers</t>
  </si>
  <si>
    <t>200–500 drivers</t>
  </si>
  <si>
    <t>&lt; 200 drivers</t>
  </si>
  <si>
    <t>Regulatory Approval</t>
  </si>
  <si>
    <t>License granted</t>
  </si>
  <si>
    <t>In progress, 3+ mo.</t>
  </si>
  <si>
    <t>Blocked / banned</t>
  </si>
  <si>
    <t>Cash + mobile money</t>
  </si>
  <si>
    <t>Cash only, digital &lt;5%</t>
  </si>
  <si>
    <t>No viable collection</t>
  </si>
  <si>
    <t>Local Partner / Team</t>
  </si>
  <si>
    <t>Confirmed ops lead</t>
  </si>
  <si>
    <t>Candidates identified</t>
  </si>
  <si>
    <t>No viable candidates</t>
  </si>
  <si>
    <t>Political / Security Stability</t>
  </si>
  <si>
    <t>Stable, low risk</t>
  </si>
  <si>
    <t>Moderate risk, monitor</t>
  </si>
  <si>
    <t>Active conflict / crisis</t>
  </si>
  <si>
    <t>Unit Economics Validation</t>
  </si>
  <si>
    <t>CAC payback &lt; 4 mo.</t>
  </si>
  <si>
    <t>Payback 4–8 months</t>
  </si>
  <si>
    <t>Payback &gt; 12 months</t>
  </si>
  <si>
    <t>WASEL — FUTURE REVENUE STREAMS</t>
  </si>
  <si>
    <t>Ancillary &amp; expansion revenue beyond core subscription fees  |  Launch timeline: Year 2–Year 4</t>
  </si>
  <si>
    <t>REVENUE STREAM OVERVIEW</t>
  </si>
  <si>
    <t>Revenue Stream</t>
  </si>
  <si>
    <t>Launch</t>
  </si>
  <si>
    <t>Revenue Model</t>
  </si>
  <si>
    <t>Est. Revenue / Mo (Mature)</t>
  </si>
  <si>
    <t>Est. Annual (Y5)</t>
  </si>
  <si>
    <t>Margin</t>
  </si>
  <si>
    <t>Complexity</t>
  </si>
  <si>
    <t>1. Fleet Partner Program</t>
  </si>
  <si>
    <t>Y2-Q1</t>
  </si>
  <si>
    <t>JD 150-300/mo per fleet (5+ cars)</t>
  </si>
  <si>
    <t xml:space="preserve">    → Fleet dashboard, bulk onboarding, driver management tools</t>
  </si>
  <si>
    <t>2. Corporate Accounts (B2B)</t>
  </si>
  <si>
    <t>Y2-Q2</t>
  </si>
  <si>
    <t>JD 500-2,000/mo per corporate</t>
  </si>
  <si>
    <t xml:space="preserve">    → Employee ride credits, monthly billing, priority dispatch for corporate partners</t>
  </si>
  <si>
    <t>3. Delivery Partnerships</t>
  </si>
  <si>
    <t>Y2-Q3</t>
  </si>
  <si>
    <t>JD 2-3/delivery commission</t>
  </si>
  <si>
    <t xml:space="preserve">    → Partner with restaurants/grocery; drivers opt-in to delivery during off-peak hours</t>
  </si>
  <si>
    <t>4. Insurance Brokerage</t>
  </si>
  <si>
    <t>Y2-Q4</t>
  </si>
  <si>
    <t>JD 5-10/driver/mo commission</t>
  </si>
  <si>
    <t xml:space="preserve">    → Refer drivers to partner insurers for comprehensive coverage; earn referral commission</t>
  </si>
  <si>
    <t>5. In-App Advertising</t>
  </si>
  <si>
    <t>Y3-Q1</t>
  </si>
  <si>
    <t>CPM / sponsored placements</t>
  </si>
  <si>
    <t xml:space="preserve">    → Sponsored ride offers, driver app banner ads, rider destination suggestions</t>
  </si>
  <si>
    <t>6. Data Licensing</t>
  </si>
  <si>
    <t>Y3-Q2</t>
  </si>
  <si>
    <t>Annual contracts with logistics cos</t>
  </si>
  <si>
    <t xml:space="preserve">    → Anonymized trip patterns, demand heatmaps sold to logistics/urban planning firms</t>
  </si>
  <si>
    <t>7. Rider Subscriptions</t>
  </si>
  <si>
    <t>Y3-Q3</t>
  </si>
  <si>
    <t>JD 5-10/mo rider loyalty pass</t>
  </si>
  <si>
    <t xml:space="preserve">    → Priority matching, discounted fares, ride history perks for frequent riders</t>
  </si>
  <si>
    <t>TOTAL ANCILLARY REVENUE POTENTIAL (Y5)</t>
  </si>
  <si>
    <t>Ancillary as % of Core Subscription Rev (Y5)</t>
  </si>
  <si>
    <t>REVENUE DIVERSIFICATION ROADMAP</t>
  </si>
  <si>
    <t>Year</t>
  </si>
  <si>
    <t>Core Sub Revenue</t>
  </si>
  <si>
    <t>Ancillary Mix %</t>
  </si>
  <si>
    <t>New Streams Launched</t>
  </si>
  <si>
    <t>None (core only)</t>
  </si>
  <si>
    <t>Fleet, Corporate, Delivery</t>
  </si>
  <si>
    <t>Insurance, Ads, Data, Rider Subs</t>
  </si>
  <si>
    <t>All 7 streams active</t>
  </si>
  <si>
    <t>All 7 streams mature</t>
  </si>
  <si>
    <t>STRATEGIC NOTES</t>
  </si>
  <si>
    <t>▶  Ancillary revenue reaches JD 2.1M/yr by Y5 (potential) — currently modeled conservatively at JD 662K in Multi-Year Projections.</t>
  </si>
  <si>
    <t>▶  Full ancillary potential adds 56% on top of core subscription revenue, transforming Wasel from a single-product to a platform business.</t>
  </si>
  <si>
    <t>▶  Highest-margin streams (Advertising 95%, Insurance 90%, Data 95%) should be prioritized for early launch to maximize profitability.</t>
  </si>
  <si>
    <t>▶  Fleet Partner and Corporate Accounts create B2B revenue with longer contracts and lower churn — key for investor confidence.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</si>
</sst>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&quot;x&quot;"/>
    <numFmt numFmtId="165" formatCode="0.0"/>
    <numFmt numFmtId="166" formatCode="0.0&quot; mo&quot;"/>
    <numFmt numFmtId="167" formatCode="0.0%"/>
    <numFmt numFmtId="168" formatCode="#,##0;\(#,##0\)"/>
    <numFmt numFmtId="169" formatCode="&quot;$&quot;#,##0"/>
    <numFmt numFmtId="170" formatCode="&quot;$&quot;#,##0;\(&quot;$&quot;#,##0\);&quot;-&quot;"/>
    <numFmt numFmtId="171" formatCode="#,##0.0"/>
    <numFmt numFmtId="172" formatCode="&quot;JD &quot;#,##0.0&quot; saved&quot;"/>
    <numFmt numFmtId="173" formatCode="#,##0;\(#,##0\);&quot;-&quot;"/>
    <numFmt numFmtId="174" formatCode="0.00;\(0.00\)"/>
    <numFmt numFmtId="175" formatCode="&quot;$&quot;#,##0.00"/>
    <numFmt numFmtId="176" formatCode="&quot;$&quot;#,##0;\(&quot;$&quot;#,##0\)"/>
  </numFmts>
  <fonts count="64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2E75B6"/>
      <name val="Aptos Narrow"/>
      <scheme val="minor"/>
    </font>
    <font>
      <b/>
      <sz val="12"/>
      <color rgb="FF008000"/>
      <name val="Aptos Narrow"/>
      <scheme val="minor"/>
    </font>
    <font>
      <b/>
      <sz val="18"/>
      <color rgb="FFFFFFFF"/>
      <name val="Aptos Narrow"/>
      <scheme val="minor"/>
    </font>
    <font>
      <b/>
      <sz val="13"/>
      <color rgb="FFFFFFFF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8000"/>
      <name val="Aptos Narrow"/>
      <scheme val="minor"/>
    </font>
    <font>
      <b/>
      <sz val="11"/>
      <color rgb="FF008000"/>
      <name val="Aptos Narrow"/>
      <scheme val="minor"/>
    </font>
    <font>
      <b/>
      <sz val="11"/>
      <color rgb="FFBF8F00"/>
      <name val="Aptos Narrow"/>
      <scheme val="minor"/>
    </font>
    <font>
      <b/>
      <sz val="11"/>
      <color rgb="FF2E75B6"/>
      <name val="Aptos Narrow"/>
      <scheme val="minor"/>
    </font>
    <font>
      <sz val="12"/>
      <color rgb="FF008000"/>
      <name val="Aptos Narrow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sz val="11"/>
      <color rgb="FFC00000"/>
      <name val="Aptos Narrow"/>
      <scheme val="minor"/>
    </font>
    <font>
      <b/>
      <sz val="14"/>
      <color rgb="FFFFFFFF"/>
      <name val="Aptos Narrow"/>
      <scheme val="minor"/>
    </font>
    <font>
      <i/>
      <sz val="11"/>
      <color rgb="FF44546A"/>
      <name val="Aptos Narrow"/>
      <scheme val="minor"/>
    </font>
    <font>
      <b/>
      <sz val="11"/>
      <color rgb="FFFFFFFF"/>
      <name val="Aptos Narrow"/>
      <scheme val="minor"/>
    </font>
    <font>
      <sz val="10"/>
      <color theme="1"/>
      <name val="Aptos Narrow"/>
      <scheme val="minor"/>
    </font>
    <font>
      <i/>
      <sz val="10"/>
      <color rgb="FF44546A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C00000"/>
      <name val="Aptos Narrow"/>
      <scheme val="minor"/>
    </font>
    <font>
      <b/>
      <sz val="16"/>
      <color rgb="FFFFFFFF"/>
      <name val="Aptos Narrow"/>
      <scheme val="minor"/>
    </font>
    <font>
      <sz val="11"/>
      <color rgb="FFBF8F00"/>
      <name val="Aptos Narrow"/>
      <scheme val="minor"/>
    </font>
    <font>
      <sz val="4"/>
      <color theme="1"/>
      <name val="Aptos Narrow"/>
      <family val="2"/>
      <scheme val="minor"/>
    </font>
    <font>
      <b/>
      <sz val="10"/>
      <color rgb="FFFFFFFF"/>
      <name val="Aptos Narrow"/>
      <scheme val="minor"/>
    </font>
    <font>
      <b/>
      <sz val="10"/>
      <color rgb="FF2E75B6"/>
      <name val="Aptos Narrow"/>
      <scheme val="minor"/>
    </font>
    <font>
      <b/>
      <sz val="10"/>
      <color theme="1"/>
      <name val="Aptos Narrow"/>
      <scheme val="minor"/>
    </font>
    <font>
      <sz val="10"/>
      <color rgb="FFC00000"/>
      <name val="Aptos Narrow"/>
      <scheme val="minor"/>
    </font>
    <font>
      <b/>
      <sz val="10"/>
      <color rgb="FFC00000"/>
      <name val="Aptos Narrow"/>
      <scheme val="minor"/>
    </font>
    <font>
      <sz val="10"/>
      <color rgb="FF008000"/>
      <name val="Aptos Narrow"/>
      <scheme val="minor"/>
    </font>
    <font>
      <b/>
      <sz val="10"/>
      <color rgb="FF008000"/>
      <name val="Aptos Narrow"/>
      <scheme val="minor"/>
    </font>
    <font>
      <b/>
      <sz val="10"/>
      <color rgb="FF44546A"/>
      <name val="Aptos Narrow"/>
      <scheme val="minor"/>
    </font>
    <font>
      <sz val="10"/>
      <color rgb="FFBF8F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FF"/>
      <name val="Aptos Narrow"/>
      <scheme val="minor"/>
    </font>
    <font>
      <sz val="12"/>
      <color rgb="FF808080"/>
      <name val="Aptos Narrow"/>
      <scheme val="minor"/>
    </font>
    <font>
      <b/>
      <sz val="12"/>
      <color rgb="FFFF8C00"/>
      <name val="Aptos Narrow"/>
      <scheme val="minor"/>
    </font>
    <font>
      <i/>
      <sz val="12"/>
      <color theme="1"/>
      <name val="Aptos Narrow"/>
      <scheme val="minor"/>
    </font>
    <font>
      <i/>
      <sz val="11"/>
      <color rgb="FF666666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4"/>
      <color rgb="FFFFFFFF"/>
      <name val="Aptos Narrow"/>
    </font>
    <font>
      <i/>
      <sz val="10"/>
      <color rgb="FF000000"/>
      <name val="Aptos Narrow"/>
    </font>
    <font>
      <b/>
      <sz val="10"/>
      <color rgb="FFFFFFFF"/>
      <name val="Aptos Narrow"/>
    </font>
    <font>
      <b/>
      <sz val="10"/>
      <color rgb="FF000000"/>
      <name val="Aptos Narrow"/>
    </font>
    <font>
      <sz val="10"/>
      <color rgb="FF000000"/>
      <name val="Aptos Narrow"/>
    </font>
    <font>
      <b/>
      <sz val="10"/>
      <color rgb="FF1A5276"/>
      <name val="Aptos Narrow"/>
    </font>
    <font>
      <b/>
      <sz val="12"/>
      <color rgb="FFFFFFFF"/>
      <name val="Aptos Narrow"/>
    </font>
    <font>
      <b/>
      <sz val="11"/>
      <color rgb="FFFFFFFF"/>
      <name val="Aptos Narrow"/>
    </font>
    <font>
      <i/>
      <sz val="9"/>
      <name val="Aptos Narrow"/>
    </font>
    <font>
      <b/>
      <sz val="13"/>
      <color rgb="FFFFFFFF"/>
      <name val="Aptos Narrow"/>
    </font>
    <font>
      <i/>
      <sz val="9"/>
      <color rgb="FF000000"/>
      <name val="Aptos Narrow"/>
    </font>
    <font>
      <b/>
      <sz val="9"/>
      <color rgb="FFFFFFFF"/>
      <name val="Aptos Narrow"/>
    </font>
    <font>
      <sz val="9"/>
      <color rgb="FF000000"/>
      <name val="Aptos Narrow"/>
    </font>
    <font>
      <b/>
      <sz val="9"/>
      <color rgb="FF000000"/>
      <name val="Aptos Narrow"/>
    </font>
    <font>
      <i/>
      <sz val="9"/>
      <color rgb="FF147A3E"/>
      <name val="Aptos Narrow"/>
    </font>
  </fonts>
  <fills count="3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2E86C1"/>
      </patternFill>
    </fill>
    <fill>
      <patternFill patternType="solid">
        <fgColor rgb="FFE74C3C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D5F5E3"/>
      </patternFill>
    </fill>
    <fill>
      <patternFill patternType="solid">
        <fgColor rgb="FF0D1B2A"/>
      </patternFill>
    </fill>
    <fill>
      <patternFill patternType="solid">
        <fgColor rgb="FF1A5376"/>
      </patternFill>
    </fill>
    <fill>
      <patternFill patternType="solid">
        <fgColor rgb="FFF4F6F7"/>
      </patternFill>
    </fill>
    <fill>
      <patternFill patternType="solid">
        <fgColor rgb="FF14783E"/>
      </patternFill>
    </fill>
    <fill>
      <patternFill patternType="solid">
        <fgColor rgb="FF1E8B4C"/>
      </patternFill>
    </fill>
    <fill>
      <patternFill patternType="solid">
        <fgColor rgb="FFEAFAF1"/>
      </patternFill>
    </fill>
    <fill>
      <patternFill patternType="solid">
        <fgColor rgb="FFC9950A"/>
      </patternFill>
    </fill>
    <fill>
      <patternFill patternType="solid">
        <fgColor rgb="FFD4AC0D"/>
      </patternFill>
    </fill>
    <fill>
      <patternFill patternType="solid">
        <fgColor rgb="FFFEF5E7"/>
      </patternFill>
    </fill>
    <fill>
      <patternFill patternType="solid">
        <fgColor rgb="FFFEF9E7"/>
      </patternFill>
    </fill>
    <fill>
      <patternFill patternType="solid">
        <fgColor rgb="FFF4E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5">
    <xf numFmtId="0" fontId="0" fillId="0" borderId="0" xfId="0"/>
    <xf numFmtId="0" fontId="0" fillId="2" borderId="0" xfId="0" applyFill="1"/>
    <xf numFmtId="0" fontId="0" fillId="3" borderId="0" xfId="0" applyFill="1"/>
    <xf numFmtId="0" fontId="0" fillId="9" borderId="0" xfId="0" applyFill="1"/>
    <xf numFmtId="0" fontId="0" fillId="5" borderId="0" xfId="0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0" fillId="11" borderId="0" xfId="0" applyFill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4" fontId="3" fillId="5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5" fontId="3" fillId="5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3" fontId="3" fillId="5" borderId="0" xfId="0" applyNumberFormat="1" applyFont="1" applyFill="1" applyAlignment="1">
      <alignment horizontal="center"/>
    </xf>
    <xf numFmtId="0" fontId="1" fillId="2" borderId="0" xfId="0" applyFont="1" applyFill="1"/>
    <xf numFmtId="16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4" fillId="0" borderId="0" xfId="0" applyFont="1"/>
    <xf numFmtId="0" fontId="6" fillId="2" borderId="0" xfId="0" applyFont="1" applyFill="1"/>
    <xf numFmtId="0" fontId="7" fillId="3" borderId="0" xfId="0" applyFont="1" applyFill="1"/>
    <xf numFmtId="0" fontId="7" fillId="9" borderId="0" xfId="0" applyFont="1" applyFill="1"/>
    <xf numFmtId="0" fontId="7" fillId="2" borderId="0" xfId="0" applyFont="1" applyFill="1"/>
    <xf numFmtId="168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9" fillId="8" borderId="0" xfId="0" applyFont="1" applyFill="1"/>
    <xf numFmtId="0" fontId="8" fillId="8" borderId="0" xfId="0" applyFont="1" applyFill="1"/>
    <xf numFmtId="0" fontId="8" fillId="8" borderId="0" xfId="0" applyFont="1" applyFill="1" applyAlignment="1">
      <alignment horizontal="center"/>
    </xf>
    <xf numFmtId="0" fontId="18" fillId="2" borderId="0" xfId="0" applyFont="1" applyFill="1"/>
    <xf numFmtId="0" fontId="20" fillId="3" borderId="0" xfId="0" applyFont="1" applyFill="1"/>
    <xf numFmtId="0" fontId="20" fillId="3" borderId="0" xfId="0" applyFont="1" applyFill="1" applyAlignment="1">
      <alignment horizontal="center"/>
    </xf>
    <xf numFmtId="0" fontId="23" fillId="11" borderId="0" xfId="0" applyFont="1" applyFill="1"/>
    <xf numFmtId="0" fontId="26" fillId="2" borderId="0" xfId="0" applyFont="1" applyFill="1"/>
    <xf numFmtId="0" fontId="20" fillId="15" borderId="0" xfId="0" applyFont="1" applyFill="1" applyAlignment="1">
      <alignment horizontal="center"/>
    </xf>
    <xf numFmtId="0" fontId="8" fillId="14" borderId="0" xfId="0" applyFont="1" applyFill="1"/>
    <xf numFmtId="0" fontId="8" fillId="14" borderId="0" xfId="0" applyFont="1" applyFill="1" applyAlignment="1">
      <alignment horizontal="center"/>
    </xf>
    <xf numFmtId="3" fontId="8" fillId="14" borderId="0" xfId="0" applyNumberFormat="1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12" fillId="14" borderId="0" xfId="0" applyFont="1" applyFill="1" applyAlignment="1">
      <alignment horizontal="center"/>
    </xf>
    <xf numFmtId="0" fontId="28" fillId="0" borderId="0" xfId="0" applyFont="1"/>
    <xf numFmtId="3" fontId="8" fillId="8" borderId="0" xfId="0" applyNumberFormat="1" applyFont="1" applyFill="1" applyAlignment="1">
      <alignment horizontal="center"/>
    </xf>
    <xf numFmtId="0" fontId="27" fillId="8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25" fillId="8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8" fillId="5" borderId="0" xfId="0" applyFont="1" applyFill="1"/>
    <xf numFmtId="0" fontId="8" fillId="5" borderId="0" xfId="0" applyFont="1" applyFill="1" applyAlignment="1">
      <alignment horizontal="center"/>
    </xf>
    <xf numFmtId="3" fontId="8" fillId="5" borderId="0" xfId="0" applyNumberFormat="1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23" fillId="6" borderId="0" xfId="0" applyFont="1" applyFill="1"/>
    <xf numFmtId="0" fontId="24" fillId="6" borderId="0" xfId="0" applyFont="1" applyFill="1" applyAlignment="1">
      <alignment horizontal="center"/>
    </xf>
    <xf numFmtId="0" fontId="23" fillId="6" borderId="0" xfId="0" applyFont="1" applyFill="1" applyAlignment="1">
      <alignment horizontal="center"/>
    </xf>
    <xf numFmtId="0" fontId="24" fillId="11" borderId="0" xfId="0" applyFont="1" applyFill="1" applyAlignment="1">
      <alignment horizontal="center"/>
    </xf>
    <xf numFmtId="0" fontId="25" fillId="11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29" fillId="15" borderId="0" xfId="0" applyFont="1" applyFill="1"/>
    <xf numFmtId="0" fontId="29" fillId="15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21" fillId="11" borderId="0" xfId="0" applyFont="1" applyFill="1"/>
    <xf numFmtId="0" fontId="21" fillId="11" borderId="0" xfId="0" applyFont="1" applyFill="1" applyAlignment="1">
      <alignment horizontal="center"/>
    </xf>
    <xf numFmtId="3" fontId="21" fillId="11" borderId="0" xfId="0" applyNumberFormat="1" applyFont="1" applyFill="1" applyAlignment="1">
      <alignment horizontal="center"/>
    </xf>
    <xf numFmtId="0" fontId="31" fillId="6" borderId="0" xfId="0" applyFont="1" applyFill="1"/>
    <xf numFmtId="3" fontId="31" fillId="6" borderId="0" xfId="0" applyNumberFormat="1" applyFont="1" applyFill="1" applyAlignment="1">
      <alignment horizontal="center"/>
    </xf>
    <xf numFmtId="3" fontId="31" fillId="11" borderId="0" xfId="0" applyNumberFormat="1" applyFont="1" applyFill="1" applyAlignment="1">
      <alignment horizontal="center"/>
    </xf>
    <xf numFmtId="0" fontId="32" fillId="11" borderId="0" xfId="0" applyFont="1" applyFill="1"/>
    <xf numFmtId="3" fontId="32" fillId="11" borderId="0" xfId="0" applyNumberFormat="1" applyFont="1" applyFill="1" applyAlignment="1">
      <alignment horizontal="center"/>
    </xf>
    <xf numFmtId="3" fontId="33" fillId="6" borderId="0" xfId="0" applyNumberFormat="1" applyFont="1" applyFill="1" applyAlignment="1">
      <alignment horizontal="center"/>
    </xf>
    <xf numFmtId="0" fontId="31" fillId="14" borderId="0" xfId="0" applyFont="1" applyFill="1"/>
    <xf numFmtId="3" fontId="31" fillId="14" borderId="0" xfId="0" applyNumberFormat="1" applyFont="1" applyFill="1" applyAlignment="1">
      <alignment horizontal="center"/>
    </xf>
    <xf numFmtId="169" fontId="21" fillId="11" borderId="0" xfId="0" applyNumberFormat="1" applyFont="1" applyFill="1" applyAlignment="1">
      <alignment horizontal="center"/>
    </xf>
    <xf numFmtId="169" fontId="31" fillId="6" borderId="0" xfId="0" applyNumberFormat="1" applyFont="1" applyFill="1" applyAlignment="1">
      <alignment horizontal="center"/>
    </xf>
    <xf numFmtId="170" fontId="21" fillId="11" borderId="0" xfId="0" applyNumberFormat="1" applyFont="1" applyFill="1" applyAlignment="1">
      <alignment horizontal="center"/>
    </xf>
    <xf numFmtId="0" fontId="31" fillId="8" borderId="0" xfId="0" applyFont="1" applyFill="1"/>
    <xf numFmtId="169" fontId="31" fillId="8" borderId="0" xfId="0" applyNumberFormat="1" applyFont="1" applyFill="1" applyAlignment="1">
      <alignment horizontal="center"/>
    </xf>
    <xf numFmtId="0" fontId="33" fillId="13" borderId="0" xfId="0" applyFont="1" applyFill="1"/>
    <xf numFmtId="170" fontId="32" fillId="11" borderId="0" xfId="0" applyNumberFormat="1" applyFont="1" applyFill="1" applyAlignment="1">
      <alignment horizontal="center"/>
    </xf>
    <xf numFmtId="170" fontId="33" fillId="6" borderId="0" xfId="0" applyNumberFormat="1" applyFont="1" applyFill="1" applyAlignment="1">
      <alignment horizontal="center"/>
    </xf>
    <xf numFmtId="170" fontId="21" fillId="6" borderId="0" xfId="0" applyNumberFormat="1" applyFont="1" applyFill="1" applyAlignment="1">
      <alignment horizontal="center"/>
    </xf>
    <xf numFmtId="170" fontId="33" fillId="13" borderId="0" xfId="0" applyNumberFormat="1" applyFont="1" applyFill="1" applyAlignment="1">
      <alignment horizontal="center"/>
    </xf>
    <xf numFmtId="0" fontId="20" fillId="2" borderId="0" xfId="0" applyFont="1" applyFill="1"/>
    <xf numFmtId="170" fontId="20" fillId="2" borderId="0" xfId="0" applyNumberFormat="1" applyFont="1" applyFill="1" applyAlignment="1">
      <alignment horizontal="center"/>
    </xf>
    <xf numFmtId="0" fontId="36" fillId="12" borderId="0" xfId="0" applyFont="1" applyFill="1"/>
    <xf numFmtId="170" fontId="36" fillId="12" borderId="0" xfId="0" applyNumberFormat="1" applyFont="1" applyFill="1" applyAlignment="1">
      <alignment horizontal="center"/>
    </xf>
    <xf numFmtId="9" fontId="21" fillId="11" borderId="0" xfId="0" applyNumberFormat="1" applyFont="1" applyFill="1" applyAlignment="1">
      <alignment horizontal="center"/>
    </xf>
    <xf numFmtId="9" fontId="31" fillId="6" borderId="0" xfId="0" applyNumberFormat="1" applyFont="1" applyFill="1" applyAlignment="1">
      <alignment horizontal="center"/>
    </xf>
    <xf numFmtId="0" fontId="8" fillId="6" borderId="0" xfId="0" applyFont="1" applyFill="1"/>
    <xf numFmtId="0" fontId="9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11" borderId="0" xfId="0" applyFont="1" applyFill="1"/>
    <xf numFmtId="0" fontId="9" fillId="11" borderId="0" xfId="0" applyFont="1" applyFill="1" applyAlignment="1">
      <alignment horizontal="center"/>
    </xf>
    <xf numFmtId="0" fontId="13" fillId="11" borderId="0" xfId="0" applyFont="1" applyFill="1" applyAlignment="1">
      <alignment horizontal="center"/>
    </xf>
    <xf numFmtId="16" fontId="21" fillId="11" borderId="0" xfId="0" applyNumberFormat="1" applyFont="1" applyFill="1" applyAlignment="1">
      <alignment horizontal="center"/>
    </xf>
    <xf numFmtId="0" fontId="34" fillId="11" borderId="0" xfId="0" applyFont="1" applyFill="1" applyAlignment="1">
      <alignment horizontal="center"/>
    </xf>
    <xf numFmtId="0" fontId="21" fillId="6" borderId="0" xfId="0" applyFont="1" applyFill="1"/>
    <xf numFmtId="0" fontId="21" fillId="6" borderId="0" xfId="0" applyFont="1" applyFill="1" applyAlignment="1">
      <alignment horizontal="center"/>
    </xf>
    <xf numFmtId="16" fontId="21" fillId="6" borderId="0" xfId="0" applyNumberFormat="1" applyFont="1" applyFill="1" applyAlignment="1">
      <alignment horizontal="center"/>
    </xf>
    <xf numFmtId="0" fontId="34" fillId="6" borderId="0" xfId="0" applyFont="1" applyFill="1" applyAlignment="1">
      <alignment horizontal="center"/>
    </xf>
    <xf numFmtId="3" fontId="21" fillId="6" borderId="0" xfId="0" applyNumberFormat="1" applyFont="1" applyFill="1" applyAlignment="1">
      <alignment horizontal="center"/>
    </xf>
    <xf numFmtId="0" fontId="21" fillId="8" borderId="0" xfId="0" applyFont="1" applyFill="1"/>
    <xf numFmtId="0" fontId="21" fillId="8" borderId="0" xfId="0" applyFont="1" applyFill="1" applyAlignment="1">
      <alignment horizontal="center"/>
    </xf>
    <xf numFmtId="16" fontId="21" fillId="8" borderId="0" xfId="0" applyNumberFormat="1" applyFont="1" applyFill="1" applyAlignment="1">
      <alignment horizontal="center"/>
    </xf>
    <xf numFmtId="0" fontId="34" fillId="8" borderId="0" xfId="0" applyFont="1" applyFill="1" applyAlignment="1">
      <alignment horizontal="center"/>
    </xf>
    <xf numFmtId="169" fontId="34" fillId="8" borderId="0" xfId="0" applyNumberFormat="1" applyFont="1" applyFill="1" applyAlignment="1">
      <alignment horizontal="center"/>
    </xf>
    <xf numFmtId="3" fontId="31" fillId="8" borderId="0" xfId="0" applyNumberFormat="1" applyFont="1" applyFill="1" applyAlignment="1">
      <alignment horizontal="center"/>
    </xf>
    <xf numFmtId="0" fontId="31" fillId="11" borderId="0" xfId="0" applyFont="1" applyFill="1"/>
    <xf numFmtId="169" fontId="34" fillId="11" borderId="0" xfId="0" applyNumberFormat="1" applyFont="1" applyFill="1" applyAlignment="1">
      <alignment horizontal="center"/>
    </xf>
    <xf numFmtId="3" fontId="21" fillId="8" borderId="0" xfId="0" applyNumberFormat="1" applyFont="1" applyFill="1" applyAlignment="1">
      <alignment horizontal="center"/>
    </xf>
    <xf numFmtId="0" fontId="21" fillId="5" borderId="0" xfId="0" applyFont="1" applyFill="1"/>
    <xf numFmtId="0" fontId="21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32" fillId="13" borderId="0" xfId="0" applyFont="1" applyFill="1" applyAlignment="1">
      <alignment horizontal="center"/>
    </xf>
    <xf numFmtId="170" fontId="32" fillId="6" borderId="0" xfId="0" applyNumberFormat="1" applyFont="1" applyFill="1" applyAlignment="1">
      <alignment horizontal="center"/>
    </xf>
    <xf numFmtId="0" fontId="38" fillId="4" borderId="0" xfId="0" applyFont="1" applyFill="1"/>
    <xf numFmtId="0" fontId="38" fillId="4" borderId="0" xfId="0" applyFont="1" applyFill="1" applyAlignment="1">
      <alignment horizontal="center"/>
    </xf>
    <xf numFmtId="0" fontId="39" fillId="0" borderId="0" xfId="0" applyFont="1" applyAlignment="1">
      <alignment horizontal="center"/>
    </xf>
    <xf numFmtId="9" fontId="39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67" fontId="39" fillId="0" borderId="0" xfId="0" applyNumberFormat="1" applyFont="1" applyAlignment="1">
      <alignment horizontal="center"/>
    </xf>
    <xf numFmtId="3" fontId="39" fillId="0" borderId="0" xfId="0" applyNumberFormat="1" applyFont="1" applyAlignment="1">
      <alignment horizontal="center"/>
    </xf>
    <xf numFmtId="169" fontId="39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9" fontId="14" fillId="0" borderId="0" xfId="0" applyNumberFormat="1" applyFont="1" applyAlignment="1">
      <alignment horizontal="center"/>
    </xf>
    <xf numFmtId="3" fontId="14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171" fontId="14" fillId="0" borderId="0" xfId="0" applyNumberFormat="1" applyFont="1" applyAlignment="1">
      <alignment horizontal="center"/>
    </xf>
    <xf numFmtId="172" fontId="5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73" fontId="3" fillId="0" borderId="0" xfId="0" applyNumberFormat="1" applyFont="1" applyAlignment="1">
      <alignment horizontal="center"/>
    </xf>
    <xf numFmtId="173" fontId="3" fillId="5" borderId="0" xfId="0" applyNumberFormat="1" applyFont="1" applyFill="1" applyAlignment="1">
      <alignment horizontal="center"/>
    </xf>
    <xf numFmtId="168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2" fontId="3" fillId="5" borderId="0" xfId="0" applyNumberFormat="1" applyFont="1" applyFill="1" applyAlignment="1">
      <alignment horizontal="center"/>
    </xf>
    <xf numFmtId="174" fontId="2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168" fontId="3" fillId="5" borderId="0" xfId="0" applyNumberFormat="1" applyFont="1" applyFill="1" applyAlignment="1">
      <alignment horizontal="center"/>
    </xf>
    <xf numFmtId="9" fontId="1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0" fontId="16" fillId="4" borderId="0" xfId="0" applyFont="1" applyFill="1" applyAlignment="1">
      <alignment horizontal="center"/>
    </xf>
    <xf numFmtId="168" fontId="14" fillId="0" borderId="0" xfId="0" applyNumberFormat="1" applyFont="1" applyAlignment="1">
      <alignment horizontal="center"/>
    </xf>
    <xf numFmtId="168" fontId="39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3" fontId="14" fillId="5" borderId="0" xfId="0" applyNumberFormat="1" applyFont="1" applyFill="1" applyAlignment="1">
      <alignment horizontal="center"/>
    </xf>
    <xf numFmtId="167" fontId="2" fillId="5" borderId="0" xfId="0" applyNumberFormat="1" applyFont="1" applyFill="1" applyAlignment="1">
      <alignment horizontal="center"/>
    </xf>
    <xf numFmtId="0" fontId="42" fillId="0" borderId="0" xfId="0" applyFont="1"/>
    <xf numFmtId="167" fontId="3" fillId="5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18" fillId="9" borderId="0" xfId="0" applyFont="1" applyFill="1"/>
    <xf numFmtId="0" fontId="1" fillId="3" borderId="0" xfId="0" applyFont="1" applyFill="1" applyAlignment="1">
      <alignment horizontal="center"/>
    </xf>
    <xf numFmtId="0" fontId="43" fillId="0" borderId="0" xfId="0" applyFont="1"/>
    <xf numFmtId="0" fontId="44" fillId="0" borderId="0" xfId="0" applyFont="1"/>
    <xf numFmtId="10" fontId="2" fillId="0" borderId="0" xfId="0" applyNumberFormat="1" applyFont="1" applyAlignment="1">
      <alignment horizontal="center"/>
    </xf>
    <xf numFmtId="175" fontId="14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center"/>
    </xf>
    <xf numFmtId="4" fontId="5" fillId="5" borderId="0" xfId="0" applyNumberFormat="1" applyFont="1" applyFill="1" applyAlignment="1">
      <alignment horizontal="center"/>
    </xf>
    <xf numFmtId="175" fontId="3" fillId="5" borderId="0" xfId="0" applyNumberFormat="1" applyFont="1" applyFill="1" applyAlignment="1">
      <alignment horizontal="center"/>
    </xf>
    <xf numFmtId="9" fontId="3" fillId="5" borderId="0" xfId="0" applyNumberFormat="1" applyFont="1" applyFill="1" applyAlignment="1">
      <alignment horizontal="center"/>
    </xf>
    <xf numFmtId="3" fontId="5" fillId="5" borderId="0" xfId="0" applyNumberFormat="1" applyFont="1" applyFill="1" applyAlignment="1">
      <alignment horizontal="center"/>
    </xf>
    <xf numFmtId="16" fontId="2" fillId="0" borderId="0" xfId="0" applyNumberFormat="1" applyFont="1" applyAlignment="1">
      <alignment horizontal="center"/>
    </xf>
    <xf numFmtId="168" fontId="5" fillId="5" borderId="0" xfId="0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69" fontId="3" fillId="5" borderId="0" xfId="0" applyNumberFormat="1" applyFont="1" applyFill="1" applyAlignment="1">
      <alignment horizontal="center"/>
    </xf>
    <xf numFmtId="168" fontId="16" fillId="0" borderId="0" xfId="0" applyNumberFormat="1" applyFont="1" applyAlignment="1">
      <alignment horizontal="center"/>
    </xf>
    <xf numFmtId="0" fontId="47" fillId="0" borderId="0" xfId="0" applyFont="1"/>
    <xf numFmtId="167" fontId="0" fillId="0" borderId="0" xfId="0" applyNumberFormat="1"/>
    <xf numFmtId="165" fontId="0" fillId="0" borderId="0" xfId="0" applyNumberFormat="1"/>
    <xf numFmtId="3" fontId="0" fillId="0" borderId="0" xfId="0" applyNumberFormat="1"/>
    <xf numFmtId="3" fontId="46" fillId="0" borderId="0" xfId="0" applyNumberFormat="1" applyFont="1"/>
    <xf numFmtId="3" fontId="45" fillId="0" borderId="0" xfId="0" applyNumberFormat="1" applyFont="1"/>
    <xf numFmtId="9" fontId="0" fillId="0" borderId="0" xfId="0" applyNumberFormat="1"/>
    <xf numFmtId="164" fontId="0" fillId="0" borderId="0" xfId="0" applyNumberFormat="1"/>
    <xf numFmtId="0" fontId="48" fillId="3" borderId="0" xfId="0" applyFont="1" applyFill="1"/>
    <xf numFmtId="0" fontId="51" fillId="16" borderId="0" xfId="0" applyFont="1" applyFill="1" applyAlignment="1">
      <alignment horizontal="center" vertical="center" wrapText="1"/>
    </xf>
    <xf numFmtId="0" fontId="52" fillId="18" borderId="0" xfId="0" applyFont="1" applyFill="1" applyAlignment="1">
      <alignment horizontal="center" vertical="center"/>
    </xf>
    <xf numFmtId="0" fontId="53" fillId="18" borderId="0" xfId="0" applyFont="1" applyFill="1" applyAlignment="1">
      <alignment horizontal="left" vertical="center" wrapText="1"/>
    </xf>
    <xf numFmtId="0" fontId="53" fillId="18" borderId="0" xfId="0" applyFont="1" applyFill="1" applyAlignment="1">
      <alignment horizontal="center" vertical="center"/>
    </xf>
    <xf numFmtId="0" fontId="54" fillId="18" borderId="0" xfId="0" applyFont="1" applyFill="1" applyAlignment="1">
      <alignment horizontal="center" vertical="center"/>
    </xf>
    <xf numFmtId="0" fontId="50" fillId="18" borderId="0" xfId="0" applyFont="1" applyFill="1" applyAlignment="1">
      <alignment horizontal="center" vertical="center"/>
    </xf>
    <xf numFmtId="0" fontId="52" fillId="19" borderId="0" xfId="0" applyFont="1" applyFill="1" applyAlignment="1">
      <alignment horizontal="center" vertical="center"/>
    </xf>
    <xf numFmtId="0" fontId="53" fillId="19" borderId="0" xfId="0" applyFont="1" applyFill="1" applyAlignment="1">
      <alignment horizontal="left" vertical="center" wrapText="1"/>
    </xf>
    <xf numFmtId="0" fontId="53" fillId="19" borderId="0" xfId="0" applyFont="1" applyFill="1" applyAlignment="1">
      <alignment horizontal="center" vertical="center"/>
    </xf>
    <xf numFmtId="0" fontId="54" fillId="19" borderId="0" xfId="0" applyFont="1" applyFill="1" applyAlignment="1">
      <alignment horizontal="center" vertical="center"/>
    </xf>
    <xf numFmtId="0" fontId="50" fillId="19" borderId="0" xfId="0" applyFont="1" applyFill="1" applyAlignment="1">
      <alignment horizontal="center" vertical="center"/>
    </xf>
    <xf numFmtId="0" fontId="51" fillId="20" borderId="0" xfId="0" applyFont="1" applyFill="1" applyAlignment="1">
      <alignment horizontal="center" vertical="center"/>
    </xf>
    <xf numFmtId="0" fontId="53" fillId="18" borderId="0" xfId="0" applyFont="1" applyFill="1" applyAlignment="1">
      <alignment horizontal="left" vertical="center"/>
    </xf>
    <xf numFmtId="0" fontId="53" fillId="19" borderId="0" xfId="0" applyFont="1" applyFill="1" applyAlignment="1">
      <alignment horizontal="left" vertical="center"/>
    </xf>
    <xf numFmtId="0" fontId="52" fillId="18" borderId="0" xfId="0" applyFont="1" applyFill="1" applyAlignment="1">
      <alignment horizontal="left" vertical="center"/>
    </xf>
    <xf numFmtId="0" fontId="52" fillId="19" borderId="0" xfId="0" applyFont="1" applyFill="1" applyAlignment="1">
      <alignment horizontal="left" vertical="center"/>
    </xf>
    <xf numFmtId="0" fontId="52" fillId="18" borderId="0" xfId="0" applyFont="1" applyFill="1" applyAlignment="1">
      <alignment horizontal="left" vertical="center" wrapText="1"/>
    </xf>
    <xf numFmtId="0" fontId="52" fillId="19" borderId="0" xfId="0" applyFont="1" applyFill="1" applyAlignment="1">
      <alignment horizontal="left" vertical="center" wrapText="1"/>
    </xf>
    <xf numFmtId="0" fontId="51" fillId="20" borderId="0" xfId="0" applyFont="1" applyFill="1" applyAlignment="1">
      <alignment horizontal="center" vertical="center" wrapText="1"/>
    </xf>
    <xf numFmtId="0" fontId="53" fillId="18" borderId="0" xfId="0" applyFont="1" applyFill="1" applyAlignment="1">
      <alignment horizontal="center" vertical="center" wrapText="1"/>
    </xf>
    <xf numFmtId="0" fontId="53" fillId="19" borderId="0" xfId="0" applyFont="1" applyFill="1" applyAlignment="1">
      <alignment horizontal="center" vertical="center" wrapText="1"/>
    </xf>
    <xf numFmtId="0" fontId="52" fillId="19" borderId="0" xfId="0" applyFont="1" applyFill="1" applyAlignment="1">
      <alignment horizontal="center" vertical="center" wrapText="1"/>
    </xf>
    <xf numFmtId="0" fontId="52" fillId="18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horizontal="left" vertical="center" wrapText="1"/>
    </xf>
    <xf numFmtId="0" fontId="52" fillId="26" borderId="0" xfId="0" applyFont="1" applyFill="1" applyAlignment="1">
      <alignment horizontal="center" vertical="center" wrapText="1"/>
    </xf>
    <xf numFmtId="0" fontId="60" fillId="20" borderId="0" xfId="0" applyFont="1" applyFill="1" applyAlignment="1">
      <alignment horizontal="center" vertical="center"/>
    </xf>
    <xf numFmtId="0" fontId="61" fillId="18" borderId="0" xfId="0" applyFont="1" applyFill="1" applyAlignment="1">
      <alignment horizontal="center" vertical="center" wrapText="1"/>
    </xf>
    <xf numFmtId="0" fontId="61" fillId="18" borderId="0" xfId="0" applyFont="1" applyFill="1" applyAlignment="1">
      <alignment horizontal="left" vertical="center" wrapText="1"/>
    </xf>
    <xf numFmtId="0" fontId="61" fillId="29" borderId="0" xfId="0" applyFont="1" applyFill="1" applyAlignment="1">
      <alignment horizontal="center" vertical="center" wrapText="1"/>
    </xf>
    <xf numFmtId="0" fontId="61" fillId="29" borderId="0" xfId="0" applyFont="1" applyFill="1" applyAlignment="1">
      <alignment horizontal="left" vertical="center" wrapText="1"/>
    </xf>
    <xf numFmtId="0" fontId="62" fillId="26" borderId="0" xfId="0" applyFont="1" applyFill="1" applyAlignment="1">
      <alignment horizontal="center" vertical="center" wrapText="1"/>
    </xf>
    <xf numFmtId="0" fontId="62" fillId="26" borderId="0" xfId="0" applyFont="1" applyFill="1" applyAlignment="1">
      <alignment horizontal="left" vertical="center" wrapText="1"/>
    </xf>
    <xf numFmtId="0" fontId="60" fillId="31" borderId="0" xfId="0" applyFont="1" applyFill="1" applyAlignment="1">
      <alignment horizontal="center" vertical="center"/>
    </xf>
    <xf numFmtId="0" fontId="61" fillId="32" borderId="0" xfId="0" applyFont="1" applyFill="1" applyAlignment="1">
      <alignment horizontal="center" vertical="center"/>
    </xf>
    <xf numFmtId="0" fontId="61" fillId="29" borderId="0" xfId="0" applyFont="1" applyFill="1" applyAlignment="1">
      <alignment horizontal="center" vertical="center"/>
    </xf>
    <xf numFmtId="0" fontId="62" fillId="26" borderId="0" xfId="0" applyFont="1" applyFill="1" applyAlignment="1">
      <alignment horizontal="center" vertical="center"/>
    </xf>
    <xf numFmtId="0" fontId="60" fillId="34" borderId="0" xfId="0" applyFont="1" applyFill="1" applyAlignment="1">
      <alignment horizontal="center" vertical="center"/>
    </xf>
    <xf numFmtId="0" fontId="61" fillId="35" borderId="0" xfId="0" applyFont="1" applyFill="1" applyAlignment="1">
      <alignment horizontal="left" vertical="center"/>
    </xf>
    <xf numFmtId="0" fontId="61" fillId="35" borderId="0" xfId="0" applyFont="1" applyFill="1" applyAlignment="1">
      <alignment horizontal="center" vertical="center"/>
    </xf>
    <xf numFmtId="0" fontId="61" fillId="29" borderId="0" xfId="0" applyFont="1" applyFill="1" applyAlignment="1">
      <alignment horizontal="left" vertical="center"/>
    </xf>
    <xf numFmtId="0" fontId="62" fillId="26" borderId="0" xfId="0" applyFont="1" applyFill="1" applyAlignment="1">
      <alignment horizontal="left" vertical="center"/>
    </xf>
    <xf numFmtId="0" fontId="63" fillId="36" borderId="0" xfId="0" applyFont="1" applyFill="1" applyAlignment="1">
      <alignment horizontal="left" vertical="center"/>
    </xf>
    <xf numFmtId="0" fontId="63" fillId="36" borderId="0" xfId="0" applyFont="1" applyFill="1" applyAlignment="1">
      <alignment horizontal="center" vertical="center"/>
    </xf>
    <xf numFmtId="0" fontId="60" fillId="28" borderId="0" xfId="0" applyFont="1" applyFill="1" applyAlignment="1">
      <alignment horizontal="center" vertical="center"/>
    </xf>
    <xf numFmtId="0" fontId="61" fillId="32" borderId="0" xfId="0" applyFont="1" applyFill="1" applyAlignment="1">
      <alignment horizontal="center" vertical="center" wrapText="1"/>
    </xf>
    <xf numFmtId="0" fontId="61" fillId="32" borderId="0" xfId="0" applyFont="1" applyFill="1" applyAlignment="1">
      <alignment horizontal="left" vertical="center" wrapText="1"/>
    </xf>
    <xf numFmtId="0" fontId="61" fillId="35" borderId="0" xfId="0" applyFont="1" applyFill="1" applyAlignment="1">
      <alignment horizontal="center" vertical="center" wrapText="1"/>
    </xf>
    <xf numFmtId="0" fontId="61" fillId="35" borderId="0" xfId="0" applyFont="1" applyFill="1" applyAlignment="1">
      <alignment horizontal="left" vertical="center" wrapText="1"/>
    </xf>
    <xf numFmtId="0" fontId="61" fillId="37" borderId="0" xfId="0" applyFont="1" applyFill="1" applyAlignment="1">
      <alignment horizontal="center" vertical="center" wrapText="1"/>
    </xf>
    <xf numFmtId="0" fontId="61" fillId="37" borderId="0" xfId="0" applyFont="1" applyFill="1" applyAlignment="1">
      <alignment horizontal="left" vertical="center" wrapText="1"/>
    </xf>
    <xf numFmtId="0" fontId="50" fillId="17" borderId="0" xfId="0" applyFont="1" applyFill="1" applyAlignment="1">
      <alignment horizontal="center" vertical="center"/>
    </xf>
    <xf numFmtId="0" fontId="0" fillId="0" borderId="0" xfId="0"/>
    <xf numFmtId="0" fontId="55" fillId="16" borderId="0" xfId="0" applyFont="1" applyFill="1" applyAlignment="1">
      <alignment horizontal="center" vertical="center"/>
    </xf>
    <xf numFmtId="0" fontId="49" fillId="16" borderId="0" xfId="0" applyFont="1" applyFill="1" applyAlignment="1">
      <alignment horizontal="center" vertical="center"/>
    </xf>
    <xf numFmtId="0" fontId="53" fillId="18" borderId="0" xfId="0" applyFont="1" applyFill="1" applyAlignment="1">
      <alignment horizontal="center" vertical="center" wrapText="1"/>
    </xf>
    <xf numFmtId="0" fontId="57" fillId="18" borderId="0" xfId="0" applyFont="1" applyFill="1" applyAlignment="1">
      <alignment wrapText="1"/>
    </xf>
    <xf numFmtId="0" fontId="51" fillId="20" borderId="0" xfId="0" applyFont="1" applyFill="1" applyAlignment="1">
      <alignment horizontal="center" vertical="center"/>
    </xf>
    <xf numFmtId="0" fontId="53" fillId="19" borderId="0" xfId="0" applyFont="1" applyFill="1" applyAlignment="1">
      <alignment horizontal="center" vertical="center" wrapText="1"/>
    </xf>
    <xf numFmtId="0" fontId="57" fillId="19" borderId="0" xfId="0" applyFont="1" applyFill="1" applyAlignment="1">
      <alignment wrapText="1"/>
    </xf>
    <xf numFmtId="0" fontId="56" fillId="25" borderId="0" xfId="0" applyFont="1" applyFill="1" applyAlignment="1">
      <alignment horizontal="left" vertical="center"/>
    </xf>
    <xf numFmtId="0" fontId="56" fillId="21" borderId="0" xfId="0" applyFont="1" applyFill="1" applyAlignment="1">
      <alignment horizontal="left" vertical="center"/>
    </xf>
    <xf numFmtId="0" fontId="56" fillId="22" borderId="0" xfId="0" applyFont="1" applyFill="1" applyAlignment="1">
      <alignment horizontal="left" vertical="center"/>
    </xf>
    <xf numFmtId="0" fontId="56" fillId="23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left" vertical="center"/>
    </xf>
    <xf numFmtId="0" fontId="52" fillId="26" borderId="0" xfId="0" applyFont="1" applyFill="1" applyAlignment="1">
      <alignment horizontal="center" vertical="center" wrapText="1"/>
    </xf>
    <xf numFmtId="0" fontId="56" fillId="33" borderId="0" xfId="0" applyFont="1" applyFill="1" applyAlignment="1">
      <alignment horizontal="left" vertical="center"/>
    </xf>
    <xf numFmtId="0" fontId="59" fillId="18" borderId="0" xfId="0" applyFont="1" applyFill="1" applyAlignment="1">
      <alignment horizontal="center" vertical="center"/>
    </xf>
    <xf numFmtId="0" fontId="58" fillId="27" borderId="0" xfId="0" applyFont="1" applyFill="1" applyAlignment="1">
      <alignment horizontal="center" vertical="center"/>
    </xf>
    <xf numFmtId="0" fontId="56" fillId="27" borderId="0" xfId="0" applyFont="1" applyFill="1" applyAlignment="1">
      <alignment horizontal="left" vertical="center"/>
    </xf>
    <xf numFmtId="0" fontId="56" fillId="28" borderId="0" xfId="0" applyFont="1" applyFill="1" applyAlignment="1">
      <alignment horizontal="left" vertical="center"/>
    </xf>
    <xf numFmtId="0" fontId="56" fillId="30" borderId="0" xfId="0" applyFont="1" applyFill="1" applyAlignment="1">
      <alignment horizontal="left" vertical="center"/>
    </xf>
    <xf numFmtId="0" fontId="30" fillId="14" borderId="0" xfId="0" applyFont="1" applyFill="1"/>
    <xf numFmtId="0" fontId="7" fillId="3" borderId="0" xfId="0" applyFont="1" applyFill="1"/>
    <xf numFmtId="0" fontId="22" fillId="12" borderId="0" xfId="0" applyFont="1" applyFill="1"/>
    <xf numFmtId="0" fontId="35" fillId="8" borderId="0" xfId="0" applyFont="1" applyFill="1"/>
    <xf numFmtId="0" fontId="20" fillId="3" borderId="0" xfId="0" applyFont="1" applyFill="1"/>
    <xf numFmtId="0" fontId="18" fillId="2" borderId="0" xfId="0" applyFont="1" applyFill="1" applyAlignment="1">
      <alignment horizontal="center"/>
    </xf>
    <xf numFmtId="0" fontId="29" fillId="10" borderId="0" xfId="0" applyFont="1" applyFill="1"/>
    <xf numFmtId="0" fontId="33" fillId="13" borderId="0" xfId="0" applyFont="1" applyFill="1"/>
    <xf numFmtId="0" fontId="19" fillId="12" borderId="0" xfId="0" applyFont="1" applyFill="1" applyAlignment="1">
      <alignment horizontal="center"/>
    </xf>
    <xf numFmtId="0" fontId="1" fillId="7" borderId="0" xfId="0" applyFont="1" applyFill="1"/>
    <xf numFmtId="0" fontId="26" fillId="2" borderId="0" xfId="0" applyFont="1" applyFill="1" applyAlignment="1">
      <alignment horizontal="center"/>
    </xf>
    <xf numFmtId="0" fontId="29" fillId="7" borderId="0" xfId="0" applyFont="1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7" zoomScale="125" workbookViewId="0">
      <selection sqref="A1:E1"/>
    </sheetView>
  </sheetViews>
  <sheetFormatPr baseColWidth="10" defaultColWidth="8.83203125" defaultRowHeight="16" x14ac:dyDescent="0.2"/>
  <cols>
    <col min="1" max="1" width="4" customWidth="1"/>
    <col min="2" max="2" width="44" customWidth="1"/>
    <col min="3" max="4" width="24" customWidth="1"/>
    <col min="5" max="5" width="28" customWidth="1"/>
  </cols>
  <sheetData>
    <row r="1" spans="1:5" ht="30" customHeight="1" x14ac:dyDescent="0.2">
      <c r="A1" s="253" t="s">
        <v>0</v>
      </c>
      <c r="B1" s="251"/>
      <c r="C1" s="251"/>
      <c r="D1" s="251"/>
      <c r="E1" s="251"/>
    </row>
    <row r="2" spans="1:5" x14ac:dyDescent="0.2">
      <c r="A2" s="250" t="s">
        <v>1</v>
      </c>
      <c r="B2" s="251"/>
      <c r="C2" s="251"/>
      <c r="D2" s="251"/>
      <c r="E2" s="251"/>
    </row>
    <row r="4" spans="1:5" x14ac:dyDescent="0.2">
      <c r="A4" s="200" t="s">
        <v>2</v>
      </c>
      <c r="B4" s="200" t="s">
        <v>3</v>
      </c>
      <c r="C4" s="200" t="s">
        <v>4</v>
      </c>
      <c r="D4" s="200" t="s">
        <v>5</v>
      </c>
      <c r="E4" s="200" t="s">
        <v>6</v>
      </c>
    </row>
    <row r="5" spans="1:5" ht="30" customHeight="1" x14ac:dyDescent="0.2">
      <c r="A5" s="201">
        <v>1</v>
      </c>
      <c r="B5" s="202" t="s">
        <v>7</v>
      </c>
      <c r="C5" s="203" t="s">
        <v>8</v>
      </c>
      <c r="D5" s="204" t="s">
        <v>9</v>
      </c>
      <c r="E5" s="205" t="s">
        <v>10</v>
      </c>
    </row>
    <row r="6" spans="1:5" ht="30" customHeight="1" x14ac:dyDescent="0.2">
      <c r="A6" s="206">
        <v>2</v>
      </c>
      <c r="B6" s="207" t="s">
        <v>11</v>
      </c>
      <c r="C6" s="208" t="s">
        <v>12</v>
      </c>
      <c r="D6" s="209" t="s">
        <v>13</v>
      </c>
      <c r="E6" s="210" t="s">
        <v>14</v>
      </c>
    </row>
    <row r="7" spans="1:5" ht="30" customHeight="1" x14ac:dyDescent="0.2">
      <c r="A7" s="201">
        <v>3</v>
      </c>
      <c r="B7" s="202" t="s">
        <v>15</v>
      </c>
      <c r="C7" s="203" t="s">
        <v>16</v>
      </c>
      <c r="D7" s="204" t="s">
        <v>17</v>
      </c>
      <c r="E7" s="205" t="s">
        <v>18</v>
      </c>
    </row>
    <row r="8" spans="1:5" ht="30" customHeight="1" x14ac:dyDescent="0.2">
      <c r="A8" s="206">
        <v>4</v>
      </c>
      <c r="B8" s="207" t="s">
        <v>19</v>
      </c>
      <c r="C8" s="208" t="s">
        <v>20</v>
      </c>
      <c r="D8" s="209" t="s">
        <v>21</v>
      </c>
      <c r="E8" s="210" t="s">
        <v>22</v>
      </c>
    </row>
    <row r="9" spans="1:5" ht="30" customHeight="1" x14ac:dyDescent="0.2">
      <c r="A9" s="201">
        <v>5</v>
      </c>
      <c r="B9" s="202" t="s">
        <v>23</v>
      </c>
      <c r="C9" s="203" t="s">
        <v>24</v>
      </c>
      <c r="D9" s="204" t="s">
        <v>25</v>
      </c>
      <c r="E9" s="205" t="s">
        <v>26</v>
      </c>
    </row>
    <row r="10" spans="1:5" ht="30" customHeight="1" x14ac:dyDescent="0.2">
      <c r="A10" s="206">
        <v>6</v>
      </c>
      <c r="B10" s="207" t="s">
        <v>27</v>
      </c>
      <c r="C10" s="208" t="s">
        <v>28</v>
      </c>
      <c r="D10" s="209" t="s">
        <v>29</v>
      </c>
      <c r="E10" s="210" t="s">
        <v>30</v>
      </c>
    </row>
    <row r="11" spans="1:5" ht="30" customHeight="1" x14ac:dyDescent="0.2">
      <c r="A11" s="201">
        <v>7</v>
      </c>
      <c r="B11" s="202" t="s">
        <v>31</v>
      </c>
      <c r="C11" s="203" t="s">
        <v>32</v>
      </c>
      <c r="D11" s="204" t="s">
        <v>33</v>
      </c>
      <c r="E11" s="205" t="s">
        <v>34</v>
      </c>
    </row>
    <row r="12" spans="1:5" ht="30" customHeight="1" x14ac:dyDescent="0.2">
      <c r="A12" s="206">
        <v>8</v>
      </c>
      <c r="B12" s="207" t="s">
        <v>35</v>
      </c>
      <c r="C12" s="208" t="s">
        <v>36</v>
      </c>
      <c r="D12" s="209" t="s">
        <v>37</v>
      </c>
      <c r="E12" s="210" t="s">
        <v>38</v>
      </c>
    </row>
    <row r="13" spans="1:5" ht="30" customHeight="1" x14ac:dyDescent="0.2">
      <c r="A13" s="201">
        <v>9</v>
      </c>
      <c r="B13" s="202" t="s">
        <v>39</v>
      </c>
      <c r="C13" s="203" t="s">
        <v>28</v>
      </c>
      <c r="D13" s="204" t="s">
        <v>40</v>
      </c>
      <c r="E13" s="205" t="s">
        <v>41</v>
      </c>
    </row>
    <row r="15" spans="1:5" x14ac:dyDescent="0.2">
      <c r="A15" s="252" t="s">
        <v>42</v>
      </c>
      <c r="B15" s="251"/>
      <c r="C15" s="251"/>
      <c r="D15" s="251"/>
      <c r="E15" s="251"/>
    </row>
    <row r="16" spans="1:5" x14ac:dyDescent="0.2">
      <c r="A16" s="211" t="s">
        <v>43</v>
      </c>
      <c r="B16" s="211"/>
      <c r="C16" s="211" t="s">
        <v>44</v>
      </c>
      <c r="D16" s="211" t="s">
        <v>45</v>
      </c>
      <c r="E16" s="211" t="s">
        <v>46</v>
      </c>
    </row>
    <row r="17" spans="1:5" x14ac:dyDescent="0.2">
      <c r="A17" s="212" t="s">
        <v>47</v>
      </c>
      <c r="B17" s="203"/>
      <c r="C17" s="203">
        <v>157261</v>
      </c>
      <c r="D17" s="203">
        <v>157261</v>
      </c>
      <c r="E17" s="203">
        <v>0</v>
      </c>
    </row>
    <row r="18" spans="1:5" x14ac:dyDescent="0.2">
      <c r="A18" s="213" t="s">
        <v>48</v>
      </c>
      <c r="B18" s="208"/>
      <c r="C18" s="208">
        <v>0</v>
      </c>
      <c r="D18" s="208">
        <v>130000</v>
      </c>
      <c r="E18" s="208" t="s">
        <v>49</v>
      </c>
    </row>
    <row r="19" spans="1:5" x14ac:dyDescent="0.2">
      <c r="A19" s="214" t="s">
        <v>50</v>
      </c>
      <c r="B19" s="201"/>
      <c r="C19" s="201">
        <v>157261</v>
      </c>
      <c r="D19" s="201">
        <v>287261</v>
      </c>
      <c r="E19" s="201" t="s">
        <v>49</v>
      </c>
    </row>
    <row r="20" spans="1:5" x14ac:dyDescent="0.2">
      <c r="A20" s="213" t="s">
        <v>51</v>
      </c>
      <c r="B20" s="208"/>
      <c r="C20" s="208">
        <v>-139169</v>
      </c>
      <c r="D20" s="208">
        <v>-139169</v>
      </c>
      <c r="E20" s="208" t="s">
        <v>52</v>
      </c>
    </row>
    <row r="21" spans="1:5" x14ac:dyDescent="0.2">
      <c r="A21" s="214" t="s">
        <v>53</v>
      </c>
      <c r="B21" s="201"/>
      <c r="C21" s="201">
        <v>18092</v>
      </c>
      <c r="D21" s="201">
        <v>148092</v>
      </c>
      <c r="E21" s="201" t="s">
        <v>49</v>
      </c>
    </row>
    <row r="22" spans="1:5" x14ac:dyDescent="0.2">
      <c r="A22" s="213" t="s">
        <v>54</v>
      </c>
      <c r="B22" s="208"/>
      <c r="C22" s="208" t="s">
        <v>55</v>
      </c>
      <c r="D22" s="208" t="s">
        <v>56</v>
      </c>
      <c r="E22" s="208" t="s">
        <v>57</v>
      </c>
    </row>
    <row r="23" spans="1:5" x14ac:dyDescent="0.2">
      <c r="A23" s="212" t="s">
        <v>58</v>
      </c>
      <c r="B23" s="203"/>
      <c r="C23" s="203">
        <v>-807760</v>
      </c>
      <c r="D23" s="203">
        <v>-807760</v>
      </c>
      <c r="E23" s="203" t="s">
        <v>52</v>
      </c>
    </row>
    <row r="24" spans="1:5" x14ac:dyDescent="0.2">
      <c r="A24" s="213" t="s">
        <v>59</v>
      </c>
      <c r="B24" s="208"/>
      <c r="C24" s="208">
        <v>0</v>
      </c>
      <c r="D24" s="208">
        <v>-54000</v>
      </c>
      <c r="E24" s="208" t="s">
        <v>60</v>
      </c>
    </row>
    <row r="25" spans="1:5" x14ac:dyDescent="0.2">
      <c r="A25" s="214" t="s">
        <v>61</v>
      </c>
      <c r="B25" s="201"/>
      <c r="C25" s="201">
        <v>-789668</v>
      </c>
      <c r="D25" s="201">
        <v>-713668</v>
      </c>
      <c r="E25" s="201" t="s">
        <v>62</v>
      </c>
    </row>
    <row r="26" spans="1:5" x14ac:dyDescent="0.2">
      <c r="A26" s="215" t="s">
        <v>63</v>
      </c>
      <c r="B26" s="206"/>
      <c r="C26" s="206">
        <v>-801334</v>
      </c>
      <c r="D26" s="206">
        <v>-727334</v>
      </c>
      <c r="E26" s="206" t="s">
        <v>64</v>
      </c>
    </row>
    <row r="27" spans="1:5" x14ac:dyDescent="0.2">
      <c r="A27" s="212" t="s">
        <v>65</v>
      </c>
      <c r="B27" s="203"/>
      <c r="C27" s="203">
        <v>0</v>
      </c>
      <c r="D27" s="203">
        <v>25000</v>
      </c>
      <c r="E27" s="203" t="s">
        <v>66</v>
      </c>
    </row>
    <row r="28" spans="1:5" x14ac:dyDescent="0.2">
      <c r="A28" s="213" t="s">
        <v>67</v>
      </c>
      <c r="B28" s="208"/>
      <c r="C28" s="208">
        <v>-436944</v>
      </c>
      <c r="D28" s="208">
        <v>-362944</v>
      </c>
      <c r="E28" s="208" t="s">
        <v>64</v>
      </c>
    </row>
    <row r="29" spans="1:5" x14ac:dyDescent="0.2">
      <c r="A29" s="214" t="s">
        <v>68</v>
      </c>
      <c r="B29" s="201"/>
      <c r="C29" s="201">
        <v>568000</v>
      </c>
      <c r="D29" s="201">
        <v>472000</v>
      </c>
      <c r="E29" s="201" t="s">
        <v>69</v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"/>
  <sheetViews>
    <sheetView topLeftCell="A21" workbookViewId="0">
      <selection sqref="A1:O1"/>
    </sheetView>
  </sheetViews>
  <sheetFormatPr baseColWidth="10" defaultColWidth="8.83203125" defaultRowHeight="16" x14ac:dyDescent="0.2"/>
  <cols>
    <col min="1" max="1" width="18.5" bestFit="1" customWidth="1"/>
    <col min="2" max="2" width="36" customWidth="1"/>
    <col min="3" max="14" width="12" customWidth="1"/>
    <col min="15" max="15" width="16" customWidth="1"/>
  </cols>
  <sheetData>
    <row r="1" spans="1:15" ht="28" customHeight="1" x14ac:dyDescent="0.2">
      <c r="A1" s="253" t="s">
        <v>70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</row>
    <row r="2" spans="1:15" x14ac:dyDescent="0.2">
      <c r="A2" s="250" t="s">
        <v>71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</row>
    <row r="4" spans="1:15" x14ac:dyDescent="0.2">
      <c r="A4" s="260" t="s">
        <v>72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</row>
    <row r="5" spans="1:15" x14ac:dyDescent="0.2">
      <c r="A5" s="211" t="s">
        <v>73</v>
      </c>
      <c r="B5" s="211" t="s">
        <v>74</v>
      </c>
      <c r="C5" s="256" t="s">
        <v>75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</row>
    <row r="6" spans="1:15" ht="28" customHeight="1" x14ac:dyDescent="0.2">
      <c r="A6" s="216" t="s">
        <v>76</v>
      </c>
      <c r="B6" s="202" t="s">
        <v>77</v>
      </c>
      <c r="C6" s="255" t="s">
        <v>78</v>
      </c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</row>
    <row r="7" spans="1:15" ht="28" customHeight="1" x14ac:dyDescent="0.2">
      <c r="A7" s="217" t="s">
        <v>79</v>
      </c>
      <c r="B7" s="207" t="s">
        <v>80</v>
      </c>
      <c r="C7" s="258" t="s">
        <v>81</v>
      </c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</row>
    <row r="8" spans="1:15" ht="28" customHeight="1" x14ac:dyDescent="0.2">
      <c r="A8" s="216" t="s">
        <v>82</v>
      </c>
      <c r="B8" s="202" t="s">
        <v>83</v>
      </c>
      <c r="C8" s="255" t="s">
        <v>84</v>
      </c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</row>
    <row r="9" spans="1:15" ht="28" customHeight="1" x14ac:dyDescent="0.2">
      <c r="A9" s="217" t="s">
        <v>85</v>
      </c>
      <c r="B9" s="207" t="s">
        <v>86</v>
      </c>
      <c r="C9" s="258" t="s">
        <v>87</v>
      </c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</row>
    <row r="10" spans="1:15" ht="28" customHeight="1" x14ac:dyDescent="0.2">
      <c r="A10" s="216" t="s">
        <v>88</v>
      </c>
      <c r="B10" s="202" t="s">
        <v>89</v>
      </c>
      <c r="C10" s="255" t="s">
        <v>90</v>
      </c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</row>
    <row r="11" spans="1:15" ht="28" customHeight="1" x14ac:dyDescent="0.2">
      <c r="A11" s="217" t="s">
        <v>91</v>
      </c>
      <c r="B11" s="207" t="s">
        <v>92</v>
      </c>
      <c r="C11" s="258" t="s">
        <v>93</v>
      </c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</row>
    <row r="13" spans="1:15" x14ac:dyDescent="0.2">
      <c r="A13" s="261" t="s">
        <v>94</v>
      </c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</row>
    <row r="14" spans="1:15" ht="30" x14ac:dyDescent="0.2">
      <c r="A14" s="218" t="s">
        <v>95</v>
      </c>
      <c r="B14" s="218" t="s">
        <v>96</v>
      </c>
      <c r="C14" s="218" t="s">
        <v>97</v>
      </c>
      <c r="D14" s="218" t="s">
        <v>98</v>
      </c>
      <c r="E14" s="218" t="s">
        <v>99</v>
      </c>
      <c r="F14" s="218" t="s">
        <v>100</v>
      </c>
      <c r="G14" s="218" t="s">
        <v>101</v>
      </c>
    </row>
    <row r="15" spans="1:15" ht="105" x14ac:dyDescent="0.2">
      <c r="A15" s="202" t="s">
        <v>102</v>
      </c>
      <c r="B15" s="219" t="s">
        <v>24</v>
      </c>
      <c r="C15" s="219" t="s">
        <v>103</v>
      </c>
      <c r="D15" s="219" t="s">
        <v>104</v>
      </c>
      <c r="E15" s="219" t="s">
        <v>105</v>
      </c>
      <c r="F15" s="219" t="s">
        <v>106</v>
      </c>
      <c r="G15" s="219" t="s">
        <v>107</v>
      </c>
    </row>
    <row r="16" spans="1:15" ht="135" x14ac:dyDescent="0.2">
      <c r="A16" s="207" t="s">
        <v>108</v>
      </c>
      <c r="B16" s="220" t="s">
        <v>109</v>
      </c>
      <c r="C16" s="220" t="s">
        <v>110</v>
      </c>
      <c r="D16" s="220" t="s">
        <v>111</v>
      </c>
      <c r="E16" s="220" t="s">
        <v>112</v>
      </c>
      <c r="F16" s="220" t="s">
        <v>113</v>
      </c>
      <c r="G16" s="220" t="s">
        <v>114</v>
      </c>
    </row>
    <row r="17" spans="1:15" ht="150" x14ac:dyDescent="0.2">
      <c r="A17" s="202" t="s">
        <v>115</v>
      </c>
      <c r="B17" s="219" t="s">
        <v>116</v>
      </c>
      <c r="C17" s="219" t="s">
        <v>117</v>
      </c>
      <c r="D17" s="219" t="s">
        <v>118</v>
      </c>
      <c r="E17" s="219" t="s">
        <v>119</v>
      </c>
      <c r="F17" s="219" t="s">
        <v>120</v>
      </c>
      <c r="G17" s="219" t="s">
        <v>121</v>
      </c>
    </row>
    <row r="19" spans="1:15" x14ac:dyDescent="0.2">
      <c r="A19" s="262" t="s">
        <v>122</v>
      </c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</row>
    <row r="20" spans="1:15" ht="60" x14ac:dyDescent="0.2">
      <c r="A20" s="218" t="s">
        <v>43</v>
      </c>
      <c r="B20" s="218"/>
      <c r="C20" s="218" t="s">
        <v>123</v>
      </c>
      <c r="D20" s="218" t="s">
        <v>124</v>
      </c>
      <c r="E20" s="218" t="s">
        <v>125</v>
      </c>
      <c r="F20" s="218" t="s">
        <v>126</v>
      </c>
      <c r="G20" s="218" t="s">
        <v>127</v>
      </c>
      <c r="H20" s="218" t="s">
        <v>128</v>
      </c>
      <c r="I20" s="218" t="s">
        <v>129</v>
      </c>
      <c r="J20" s="218" t="s">
        <v>130</v>
      </c>
      <c r="K20" s="218" t="s">
        <v>131</v>
      </c>
      <c r="L20" s="218" t="s">
        <v>132</v>
      </c>
      <c r="M20" s="218" t="s">
        <v>133</v>
      </c>
      <c r="N20" s="218" t="s">
        <v>134</v>
      </c>
      <c r="O20" s="218" t="s">
        <v>135</v>
      </c>
    </row>
    <row r="21" spans="1:15" ht="180" x14ac:dyDescent="0.2">
      <c r="A21" s="202" t="s">
        <v>136</v>
      </c>
      <c r="B21" s="219"/>
      <c r="C21" s="219">
        <v>2000</v>
      </c>
      <c r="D21" s="219">
        <v>2500</v>
      </c>
      <c r="E21" s="219">
        <v>3500</v>
      </c>
      <c r="F21" s="219">
        <v>3500</v>
      </c>
      <c r="G21" s="219">
        <v>3500</v>
      </c>
      <c r="H21" s="219">
        <v>3500</v>
      </c>
      <c r="I21" s="219">
        <v>3000</v>
      </c>
      <c r="J21" s="219">
        <v>3000</v>
      </c>
      <c r="K21" s="219">
        <v>3000</v>
      </c>
      <c r="L21" s="219">
        <v>3000</v>
      </c>
      <c r="M21" s="219">
        <v>2800</v>
      </c>
      <c r="N21" s="219">
        <v>2800</v>
      </c>
      <c r="O21" s="219">
        <v>36100</v>
      </c>
    </row>
    <row r="22" spans="1:15" ht="165" x14ac:dyDescent="0.2">
      <c r="A22" s="207" t="s">
        <v>137</v>
      </c>
      <c r="B22" s="220"/>
      <c r="C22" s="220">
        <v>1.29</v>
      </c>
      <c r="D22" s="220">
        <v>1.29</v>
      </c>
      <c r="E22" s="220">
        <v>1.29</v>
      </c>
      <c r="F22" s="220">
        <v>1.29</v>
      </c>
      <c r="G22" s="220">
        <v>1.29</v>
      </c>
      <c r="H22" s="220">
        <v>1.29</v>
      </c>
      <c r="I22" s="220">
        <v>1.29</v>
      </c>
      <c r="J22" s="220">
        <v>1.29</v>
      </c>
      <c r="K22" s="220">
        <v>1.29</v>
      </c>
      <c r="L22" s="220">
        <v>1.29</v>
      </c>
      <c r="M22" s="220">
        <v>1.29</v>
      </c>
      <c r="N22" s="220">
        <v>1.29</v>
      </c>
      <c r="O22" s="220" t="s">
        <v>138</v>
      </c>
    </row>
    <row r="23" spans="1:15" ht="180" x14ac:dyDescent="0.2">
      <c r="A23" s="202" t="s">
        <v>139</v>
      </c>
      <c r="B23" s="219"/>
      <c r="C23" s="219">
        <v>2500</v>
      </c>
      <c r="D23" s="219">
        <v>3125</v>
      </c>
      <c r="E23" s="219">
        <v>4375</v>
      </c>
      <c r="F23" s="219">
        <v>4375</v>
      </c>
      <c r="G23" s="219">
        <v>4375</v>
      </c>
      <c r="H23" s="219">
        <v>4375</v>
      </c>
      <c r="I23" s="219">
        <v>3750</v>
      </c>
      <c r="J23" s="219">
        <v>3750</v>
      </c>
      <c r="K23" s="219">
        <v>3750</v>
      </c>
      <c r="L23" s="219">
        <v>3750</v>
      </c>
      <c r="M23" s="219">
        <v>3500</v>
      </c>
      <c r="N23" s="219">
        <v>3500</v>
      </c>
      <c r="O23" s="219">
        <v>45125</v>
      </c>
    </row>
    <row r="24" spans="1:15" ht="195" x14ac:dyDescent="0.2">
      <c r="A24" s="217" t="s">
        <v>140</v>
      </c>
      <c r="B24" s="221"/>
      <c r="C24" s="221">
        <v>2000</v>
      </c>
      <c r="D24" s="221">
        <v>4400</v>
      </c>
      <c r="E24" s="221">
        <v>7680</v>
      </c>
      <c r="F24" s="221">
        <v>10796</v>
      </c>
      <c r="G24" s="221">
        <v>13756</v>
      </c>
      <c r="H24" s="221">
        <v>16568</v>
      </c>
      <c r="I24" s="221">
        <v>18740</v>
      </c>
      <c r="J24" s="221">
        <v>20803</v>
      </c>
      <c r="K24" s="221">
        <v>22763</v>
      </c>
      <c r="L24" s="221">
        <v>24625</v>
      </c>
      <c r="M24" s="221">
        <v>26193</v>
      </c>
      <c r="N24" s="221">
        <v>27684</v>
      </c>
      <c r="O24" s="221" t="s">
        <v>141</v>
      </c>
    </row>
    <row r="25" spans="1:15" ht="165" x14ac:dyDescent="0.2">
      <c r="A25" s="202" t="s">
        <v>142</v>
      </c>
      <c r="B25" s="219"/>
      <c r="C25" s="219">
        <v>1700</v>
      </c>
      <c r="D25" s="219">
        <v>3740</v>
      </c>
      <c r="E25" s="219">
        <v>6528</v>
      </c>
      <c r="F25" s="219">
        <v>9177</v>
      </c>
      <c r="G25" s="219">
        <v>11693</v>
      </c>
      <c r="H25" s="219">
        <v>14083</v>
      </c>
      <c r="I25" s="219">
        <v>15929</v>
      </c>
      <c r="J25" s="219">
        <v>17683</v>
      </c>
      <c r="K25" s="219">
        <v>19349</v>
      </c>
      <c r="L25" s="219">
        <v>20931</v>
      </c>
      <c r="M25" s="219">
        <v>22264</v>
      </c>
      <c r="N25" s="219">
        <v>23531</v>
      </c>
      <c r="O25" s="219" t="s">
        <v>143</v>
      </c>
    </row>
    <row r="26" spans="1:15" ht="165" x14ac:dyDescent="0.2">
      <c r="A26" s="207" t="s">
        <v>144</v>
      </c>
      <c r="B26" s="220"/>
      <c r="C26" s="220">
        <v>200</v>
      </c>
      <c r="D26" s="220">
        <v>440</v>
      </c>
      <c r="E26" s="220">
        <v>768</v>
      </c>
      <c r="F26" s="220">
        <v>1080</v>
      </c>
      <c r="G26" s="220">
        <v>1376</v>
      </c>
      <c r="H26" s="220">
        <v>1657</v>
      </c>
      <c r="I26" s="220">
        <v>1874</v>
      </c>
      <c r="J26" s="220">
        <v>2080</v>
      </c>
      <c r="K26" s="220">
        <v>2276</v>
      </c>
      <c r="L26" s="220">
        <v>2462</v>
      </c>
      <c r="M26" s="220">
        <v>2619</v>
      </c>
      <c r="N26" s="220">
        <v>2768</v>
      </c>
      <c r="O26" s="220" t="s">
        <v>145</v>
      </c>
    </row>
    <row r="27" spans="1:15" ht="180" x14ac:dyDescent="0.2">
      <c r="A27" s="202" t="s">
        <v>146</v>
      </c>
      <c r="B27" s="219"/>
      <c r="C27" s="219">
        <v>100</v>
      </c>
      <c r="D27" s="219">
        <v>220</v>
      </c>
      <c r="E27" s="219">
        <v>384</v>
      </c>
      <c r="F27" s="219">
        <v>540</v>
      </c>
      <c r="G27" s="219">
        <v>688</v>
      </c>
      <c r="H27" s="219">
        <v>828</v>
      </c>
      <c r="I27" s="219">
        <v>937</v>
      </c>
      <c r="J27" s="219">
        <v>1040</v>
      </c>
      <c r="K27" s="219">
        <v>1138</v>
      </c>
      <c r="L27" s="219">
        <v>1231</v>
      </c>
      <c r="M27" s="219">
        <v>1310</v>
      </c>
      <c r="N27" s="219">
        <v>1384</v>
      </c>
      <c r="O27" s="219" t="s">
        <v>147</v>
      </c>
    </row>
    <row r="28" spans="1:15" ht="210" x14ac:dyDescent="0.2">
      <c r="A28" s="207" t="s">
        <v>148</v>
      </c>
      <c r="B28" s="220"/>
      <c r="C28" s="220">
        <v>12000</v>
      </c>
      <c r="D28" s="220">
        <v>12000</v>
      </c>
      <c r="E28" s="220">
        <v>12000</v>
      </c>
      <c r="F28" s="220">
        <v>8000</v>
      </c>
      <c r="G28" s="220">
        <v>8000</v>
      </c>
      <c r="H28" s="220">
        <v>8000</v>
      </c>
      <c r="I28" s="220">
        <v>5000</v>
      </c>
      <c r="J28" s="220">
        <v>5000</v>
      </c>
      <c r="K28" s="220">
        <v>5000</v>
      </c>
      <c r="L28" s="220">
        <v>5000</v>
      </c>
      <c r="M28" s="220">
        <v>5000</v>
      </c>
      <c r="N28" s="220">
        <v>5000</v>
      </c>
      <c r="O28" s="220">
        <v>90000</v>
      </c>
    </row>
    <row r="29" spans="1:15" ht="225" x14ac:dyDescent="0.2">
      <c r="A29" s="202" t="s">
        <v>149</v>
      </c>
      <c r="B29" s="219"/>
      <c r="C29" s="219">
        <v>4.8</v>
      </c>
      <c r="D29" s="219">
        <v>3.84</v>
      </c>
      <c r="E29" s="219">
        <v>2.74</v>
      </c>
      <c r="F29" s="219">
        <v>1.83</v>
      </c>
      <c r="G29" s="219">
        <v>1.83</v>
      </c>
      <c r="H29" s="219">
        <v>1.83</v>
      </c>
      <c r="I29" s="219">
        <v>1.33</v>
      </c>
      <c r="J29" s="219">
        <v>1.33</v>
      </c>
      <c r="K29" s="219">
        <v>1.33</v>
      </c>
      <c r="L29" s="219">
        <v>1.33</v>
      </c>
      <c r="M29" s="219">
        <v>1.43</v>
      </c>
      <c r="N29" s="219">
        <v>1.43</v>
      </c>
      <c r="O29" s="219" t="s">
        <v>138</v>
      </c>
    </row>
    <row r="30" spans="1:15" ht="165" x14ac:dyDescent="0.2">
      <c r="A30" s="217" t="s">
        <v>150</v>
      </c>
      <c r="B30" s="221"/>
      <c r="C30" s="221">
        <v>1000</v>
      </c>
      <c r="D30" s="221">
        <v>2200</v>
      </c>
      <c r="E30" s="221">
        <v>3840</v>
      </c>
      <c r="F30" s="221">
        <v>5398</v>
      </c>
      <c r="G30" s="221">
        <v>6878</v>
      </c>
      <c r="H30" s="221">
        <v>8284</v>
      </c>
      <c r="I30" s="221">
        <v>9370</v>
      </c>
      <c r="J30" s="221">
        <v>10402</v>
      </c>
      <c r="K30" s="221">
        <v>11382</v>
      </c>
      <c r="L30" s="221">
        <v>12312</v>
      </c>
      <c r="M30" s="221">
        <v>13096</v>
      </c>
      <c r="N30" s="221">
        <v>13842</v>
      </c>
      <c r="O30" s="221">
        <v>98004</v>
      </c>
    </row>
    <row r="31" spans="1:15" ht="180" x14ac:dyDescent="0.2">
      <c r="A31" s="216" t="s">
        <v>151</v>
      </c>
      <c r="B31" s="222"/>
      <c r="C31" s="222">
        <v>1000</v>
      </c>
      <c r="D31" s="222">
        <v>2200</v>
      </c>
      <c r="E31" s="222">
        <v>3840</v>
      </c>
      <c r="F31" s="222">
        <v>5398</v>
      </c>
      <c r="G31" s="222">
        <v>6878</v>
      </c>
      <c r="H31" s="222">
        <v>8284</v>
      </c>
      <c r="I31" s="222">
        <v>9370</v>
      </c>
      <c r="J31" s="222">
        <v>10402</v>
      </c>
      <c r="K31" s="222">
        <v>11382</v>
      </c>
      <c r="L31" s="222">
        <v>12312</v>
      </c>
      <c r="M31" s="222">
        <v>13096</v>
      </c>
      <c r="N31" s="222">
        <v>13842</v>
      </c>
      <c r="O31" s="222">
        <v>98004</v>
      </c>
    </row>
    <row r="32" spans="1:15" ht="210" x14ac:dyDescent="0.2">
      <c r="A32" s="217" t="s">
        <v>152</v>
      </c>
      <c r="B32" s="221"/>
      <c r="C32" s="221">
        <v>1995</v>
      </c>
      <c r="D32" s="221">
        <v>4389</v>
      </c>
      <c r="E32" s="221">
        <v>7661</v>
      </c>
      <c r="F32" s="221">
        <v>10769</v>
      </c>
      <c r="G32" s="221">
        <v>13722</v>
      </c>
      <c r="H32" s="221">
        <v>16527</v>
      </c>
      <c r="I32" s="221">
        <v>18693</v>
      </c>
      <c r="J32" s="221">
        <v>20751</v>
      </c>
      <c r="K32" s="221">
        <v>22706</v>
      </c>
      <c r="L32" s="221">
        <v>24563</v>
      </c>
      <c r="M32" s="221">
        <v>26128</v>
      </c>
      <c r="N32" s="221">
        <v>27615</v>
      </c>
      <c r="O32" s="221">
        <v>195519</v>
      </c>
    </row>
    <row r="34" spans="1:15" x14ac:dyDescent="0.2">
      <c r="A34" s="263" t="s">
        <v>153</v>
      </c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</row>
    <row r="35" spans="1:15" x14ac:dyDescent="0.2">
      <c r="A35" s="211" t="s">
        <v>154</v>
      </c>
      <c r="B35" s="211"/>
      <c r="C35" s="211" t="s">
        <v>155</v>
      </c>
      <c r="D35" s="211" t="s">
        <v>156</v>
      </c>
      <c r="E35" s="211" t="s">
        <v>157</v>
      </c>
      <c r="F35" s="256" t="s">
        <v>158</v>
      </c>
      <c r="G35" s="251"/>
      <c r="H35" s="251"/>
      <c r="I35" s="251"/>
      <c r="J35" s="251"/>
      <c r="K35" s="251"/>
      <c r="L35" s="251"/>
      <c r="M35" s="251"/>
      <c r="N35" s="251"/>
      <c r="O35" s="251"/>
    </row>
    <row r="36" spans="1:15" ht="135" x14ac:dyDescent="0.2">
      <c r="A36" s="202" t="s">
        <v>159</v>
      </c>
      <c r="B36" s="219"/>
      <c r="C36" s="219">
        <v>16568</v>
      </c>
      <c r="D36" s="219">
        <v>22763</v>
      </c>
      <c r="E36" s="219">
        <v>27684</v>
      </c>
      <c r="F36" s="254" t="s">
        <v>160</v>
      </c>
      <c r="G36" s="251"/>
      <c r="H36" s="251"/>
      <c r="I36" s="251"/>
      <c r="J36" s="251"/>
      <c r="K36" s="251"/>
      <c r="L36" s="251"/>
      <c r="M36" s="251"/>
      <c r="N36" s="251"/>
      <c r="O36" s="251"/>
    </row>
    <row r="37" spans="1:15" ht="225" x14ac:dyDescent="0.2">
      <c r="A37" s="207" t="s">
        <v>161</v>
      </c>
      <c r="B37" s="220"/>
      <c r="C37" s="220">
        <v>8.5</v>
      </c>
      <c r="D37" s="220">
        <v>8.5</v>
      </c>
      <c r="E37" s="220">
        <v>8.5</v>
      </c>
      <c r="F37" s="257" t="s">
        <v>162</v>
      </c>
      <c r="G37" s="251"/>
      <c r="H37" s="251"/>
      <c r="I37" s="251"/>
      <c r="J37" s="251"/>
      <c r="K37" s="251"/>
      <c r="L37" s="251"/>
      <c r="M37" s="251"/>
      <c r="N37" s="251"/>
      <c r="O37" s="251"/>
    </row>
    <row r="38" spans="1:15" ht="165" x14ac:dyDescent="0.2">
      <c r="A38" s="202" t="s">
        <v>163</v>
      </c>
      <c r="B38" s="219"/>
      <c r="C38" s="219">
        <v>140828</v>
      </c>
      <c r="D38" s="219">
        <v>193486</v>
      </c>
      <c r="E38" s="219">
        <v>235314</v>
      </c>
      <c r="F38" s="254" t="s">
        <v>164</v>
      </c>
      <c r="G38" s="251"/>
      <c r="H38" s="251"/>
      <c r="I38" s="251"/>
      <c r="J38" s="251"/>
      <c r="K38" s="251"/>
      <c r="L38" s="251"/>
      <c r="M38" s="251"/>
      <c r="N38" s="251"/>
      <c r="O38" s="251"/>
    </row>
    <row r="39" spans="1:15" ht="150" x14ac:dyDescent="0.2">
      <c r="A39" s="207" t="s">
        <v>165</v>
      </c>
      <c r="B39" s="220"/>
      <c r="C39" s="220">
        <v>119106</v>
      </c>
      <c r="D39" s="220">
        <v>203112</v>
      </c>
      <c r="E39" s="220">
        <v>346086</v>
      </c>
      <c r="F39" s="257" t="s">
        <v>166</v>
      </c>
      <c r="G39" s="251"/>
      <c r="H39" s="251"/>
      <c r="I39" s="251"/>
      <c r="J39" s="251"/>
      <c r="K39" s="251"/>
      <c r="L39" s="251"/>
      <c r="M39" s="251"/>
      <c r="N39" s="251"/>
      <c r="O39" s="251"/>
    </row>
    <row r="40" spans="1:15" ht="135" x14ac:dyDescent="0.2">
      <c r="A40" s="202" t="s">
        <v>167</v>
      </c>
      <c r="B40" s="219"/>
      <c r="C40" s="219" t="s">
        <v>168</v>
      </c>
      <c r="D40" s="219" t="s">
        <v>169</v>
      </c>
      <c r="E40" s="219" t="s">
        <v>170</v>
      </c>
      <c r="F40" s="254" t="s">
        <v>171</v>
      </c>
      <c r="G40" s="251"/>
      <c r="H40" s="251"/>
      <c r="I40" s="251"/>
      <c r="J40" s="251"/>
      <c r="K40" s="251"/>
      <c r="L40" s="251"/>
      <c r="M40" s="251"/>
      <c r="N40" s="251"/>
      <c r="O40" s="251"/>
    </row>
    <row r="42" spans="1:15" x14ac:dyDescent="0.2">
      <c r="A42" s="259" t="s">
        <v>172</v>
      </c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</row>
    <row r="43" spans="1:15" x14ac:dyDescent="0.2">
      <c r="A43" s="211" t="s">
        <v>43</v>
      </c>
      <c r="B43" s="211" t="s">
        <v>173</v>
      </c>
      <c r="C43" s="211" t="s">
        <v>174</v>
      </c>
      <c r="D43" s="211" t="s">
        <v>175</v>
      </c>
      <c r="E43" s="211" t="s">
        <v>176</v>
      </c>
      <c r="F43" s="256" t="s">
        <v>177</v>
      </c>
      <c r="G43" s="251"/>
      <c r="H43" s="251"/>
      <c r="I43" s="251"/>
      <c r="J43" s="251"/>
      <c r="K43" s="251"/>
      <c r="L43" s="251"/>
      <c r="M43" s="251"/>
      <c r="N43" s="251"/>
      <c r="O43" s="251"/>
    </row>
    <row r="44" spans="1:15" ht="225" x14ac:dyDescent="0.2">
      <c r="A44" s="202" t="s">
        <v>178</v>
      </c>
      <c r="B44" s="219">
        <v>50000</v>
      </c>
      <c r="C44" s="219">
        <v>7500</v>
      </c>
      <c r="D44" s="219">
        <v>2500</v>
      </c>
      <c r="E44" s="219" t="s">
        <v>179</v>
      </c>
      <c r="F44" s="254" t="s">
        <v>180</v>
      </c>
      <c r="G44" s="251"/>
      <c r="H44" s="251"/>
      <c r="I44" s="251"/>
      <c r="J44" s="251"/>
      <c r="K44" s="251"/>
      <c r="L44" s="251"/>
      <c r="M44" s="251"/>
      <c r="N44" s="251"/>
      <c r="O44" s="251"/>
    </row>
    <row r="45" spans="1:15" ht="180" x14ac:dyDescent="0.2">
      <c r="A45" s="207" t="s">
        <v>181</v>
      </c>
      <c r="B45" s="220">
        <v>40000</v>
      </c>
      <c r="C45" s="220">
        <v>6000</v>
      </c>
      <c r="D45" s="220">
        <v>2000</v>
      </c>
      <c r="E45" s="220" t="s">
        <v>179</v>
      </c>
      <c r="F45" s="257" t="s">
        <v>182</v>
      </c>
      <c r="G45" s="251"/>
      <c r="H45" s="251"/>
      <c r="I45" s="251"/>
      <c r="J45" s="251"/>
      <c r="K45" s="251"/>
      <c r="L45" s="251"/>
      <c r="M45" s="251"/>
      <c r="N45" s="251"/>
      <c r="O45" s="251"/>
    </row>
    <row r="46" spans="1:15" ht="225" x14ac:dyDescent="0.2">
      <c r="A46" s="202" t="s">
        <v>183</v>
      </c>
      <c r="B46" s="219">
        <v>80000</v>
      </c>
      <c r="C46" s="219">
        <v>12000</v>
      </c>
      <c r="D46" s="219">
        <v>4000</v>
      </c>
      <c r="E46" s="219" t="s">
        <v>184</v>
      </c>
      <c r="F46" s="254" t="s">
        <v>185</v>
      </c>
      <c r="G46" s="251"/>
      <c r="H46" s="251"/>
      <c r="I46" s="251"/>
      <c r="J46" s="251"/>
      <c r="K46" s="251"/>
      <c r="L46" s="251"/>
      <c r="M46" s="251"/>
      <c r="N46" s="251"/>
      <c r="O46" s="251"/>
    </row>
    <row r="47" spans="1:15" ht="225" x14ac:dyDescent="0.2">
      <c r="A47" s="207" t="s">
        <v>186</v>
      </c>
      <c r="B47" s="220">
        <v>50000</v>
      </c>
      <c r="C47" s="220">
        <v>7500</v>
      </c>
      <c r="D47" s="220">
        <v>2500</v>
      </c>
      <c r="E47" s="220" t="s">
        <v>187</v>
      </c>
      <c r="F47" s="257" t="s">
        <v>188</v>
      </c>
      <c r="G47" s="251"/>
      <c r="H47" s="251"/>
      <c r="I47" s="251"/>
      <c r="J47" s="251"/>
      <c r="K47" s="251"/>
      <c r="L47" s="251"/>
      <c r="M47" s="251"/>
      <c r="N47" s="251"/>
      <c r="O47" s="251"/>
    </row>
    <row r="48" spans="1:15" ht="270" x14ac:dyDescent="0.2">
      <c r="A48" s="202" t="s">
        <v>189</v>
      </c>
      <c r="B48" s="219">
        <v>54000</v>
      </c>
      <c r="C48" s="219">
        <v>0</v>
      </c>
      <c r="D48" s="219">
        <v>0</v>
      </c>
      <c r="E48" s="219" t="s">
        <v>190</v>
      </c>
      <c r="F48" s="254" t="s">
        <v>191</v>
      </c>
      <c r="G48" s="251"/>
      <c r="H48" s="251"/>
      <c r="I48" s="251"/>
      <c r="J48" s="251"/>
      <c r="K48" s="251"/>
      <c r="L48" s="251"/>
      <c r="M48" s="251"/>
      <c r="N48" s="251"/>
      <c r="O48" s="251"/>
    </row>
    <row r="49" spans="1:15" ht="314" x14ac:dyDescent="0.2">
      <c r="A49" s="207" t="s">
        <v>192</v>
      </c>
      <c r="B49" s="220">
        <v>83880</v>
      </c>
      <c r="C49" s="220">
        <v>12582</v>
      </c>
      <c r="D49" s="220">
        <v>4194</v>
      </c>
      <c r="E49" s="220" t="s">
        <v>193</v>
      </c>
      <c r="F49" s="257" t="s">
        <v>194</v>
      </c>
      <c r="G49" s="251"/>
      <c r="H49" s="251"/>
      <c r="I49" s="251"/>
      <c r="J49" s="251"/>
      <c r="K49" s="251"/>
      <c r="L49" s="251"/>
      <c r="M49" s="251"/>
      <c r="N49" s="251"/>
      <c r="O49" s="251"/>
    </row>
    <row r="50" spans="1:15" ht="180" x14ac:dyDescent="0.2">
      <c r="A50" s="223" t="s">
        <v>195</v>
      </c>
      <c r="B50" s="224">
        <v>357880</v>
      </c>
      <c r="C50" s="224">
        <v>45582</v>
      </c>
      <c r="D50" s="224">
        <v>15194</v>
      </c>
      <c r="E50" s="224" t="s">
        <v>138</v>
      </c>
      <c r="F50" s="264" t="s">
        <v>196</v>
      </c>
      <c r="G50" s="251"/>
      <c r="H50" s="251"/>
      <c r="I50" s="251"/>
      <c r="J50" s="251"/>
      <c r="K50" s="251"/>
      <c r="L50" s="251"/>
      <c r="M50" s="251"/>
      <c r="N50" s="251"/>
      <c r="O50" s="251"/>
    </row>
  </sheetData>
  <mergeCells count="28">
    <mergeCell ref="F50:O50"/>
    <mergeCell ref="A1:O1"/>
    <mergeCell ref="F47:O47"/>
    <mergeCell ref="C11:O11"/>
    <mergeCell ref="C7:O7"/>
    <mergeCell ref="F39:O39"/>
    <mergeCell ref="F49:O49"/>
    <mergeCell ref="A2:O2"/>
    <mergeCell ref="A42:O42"/>
    <mergeCell ref="F44:O44"/>
    <mergeCell ref="A4:O4"/>
    <mergeCell ref="C6:O6"/>
    <mergeCell ref="C5:O5"/>
    <mergeCell ref="F40:O40"/>
    <mergeCell ref="A13:O13"/>
    <mergeCell ref="A19:O19"/>
    <mergeCell ref="F38:O38"/>
    <mergeCell ref="A34:O34"/>
    <mergeCell ref="C10:O10"/>
    <mergeCell ref="F36:O36"/>
    <mergeCell ref="F46:O46"/>
    <mergeCell ref="C8:O8"/>
    <mergeCell ref="F48:O48"/>
    <mergeCell ref="F43:O43"/>
    <mergeCell ref="F37:O37"/>
    <mergeCell ref="F45:O45"/>
    <mergeCell ref="C9:O9"/>
    <mergeCell ref="F35:O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topLeftCell="A25" zoomScale="125" workbookViewId="0">
      <selection sqref="A1:F1"/>
    </sheetView>
  </sheetViews>
  <sheetFormatPr baseColWidth="10" defaultColWidth="8.83203125" defaultRowHeight="16" x14ac:dyDescent="0.2"/>
  <cols>
    <col min="1" max="1" width="28.1640625" bestFit="1" customWidth="1"/>
    <col min="2" max="2" width="32" customWidth="1"/>
    <col min="3" max="5" width="22" customWidth="1"/>
    <col min="6" max="6" width="26" customWidth="1"/>
  </cols>
  <sheetData>
    <row r="1" spans="1:6" ht="26" customHeight="1" x14ac:dyDescent="0.2">
      <c r="A1" s="267" t="s">
        <v>197</v>
      </c>
      <c r="B1" s="251"/>
      <c r="C1" s="251"/>
      <c r="D1" s="251"/>
      <c r="E1" s="251"/>
      <c r="F1" s="251"/>
    </row>
    <row r="2" spans="1:6" x14ac:dyDescent="0.2">
      <c r="A2" s="266" t="s">
        <v>198</v>
      </c>
      <c r="B2" s="251"/>
      <c r="C2" s="251"/>
      <c r="D2" s="251"/>
      <c r="E2" s="251"/>
      <c r="F2" s="251"/>
    </row>
    <row r="4" spans="1:6" x14ac:dyDescent="0.2">
      <c r="A4" s="269" t="s">
        <v>199</v>
      </c>
      <c r="B4" s="251"/>
      <c r="C4" s="251"/>
      <c r="D4" s="251"/>
      <c r="E4" s="251"/>
      <c r="F4" s="251"/>
    </row>
    <row r="5" spans="1:6" x14ac:dyDescent="0.2">
      <c r="A5" s="225" t="s">
        <v>2</v>
      </c>
      <c r="B5" s="225" t="s">
        <v>200</v>
      </c>
      <c r="C5" s="225" t="s">
        <v>201</v>
      </c>
      <c r="D5" s="225" t="s">
        <v>202</v>
      </c>
      <c r="E5" s="225" t="s">
        <v>203</v>
      </c>
      <c r="F5" s="225" t="s">
        <v>204</v>
      </c>
    </row>
    <row r="6" spans="1:6" ht="26" customHeight="1" x14ac:dyDescent="0.2">
      <c r="A6" s="226" t="s">
        <v>205</v>
      </c>
      <c r="B6" s="227" t="s">
        <v>206</v>
      </c>
      <c r="C6" s="226" t="s">
        <v>24</v>
      </c>
      <c r="D6" s="226" t="s">
        <v>207</v>
      </c>
      <c r="E6" s="226" t="s">
        <v>208</v>
      </c>
      <c r="F6" s="226" t="s">
        <v>209</v>
      </c>
    </row>
    <row r="7" spans="1:6" ht="26" customHeight="1" x14ac:dyDescent="0.2">
      <c r="A7" s="228" t="s">
        <v>210</v>
      </c>
      <c r="B7" s="229" t="s">
        <v>211</v>
      </c>
      <c r="C7" s="228" t="s">
        <v>212</v>
      </c>
      <c r="D7" s="228" t="s">
        <v>213</v>
      </c>
      <c r="E7" s="228" t="s">
        <v>214</v>
      </c>
      <c r="F7" s="228" t="s">
        <v>209</v>
      </c>
    </row>
    <row r="8" spans="1:6" ht="26" customHeight="1" x14ac:dyDescent="0.2">
      <c r="A8" s="226" t="s">
        <v>215</v>
      </c>
      <c r="B8" s="227" t="s">
        <v>216</v>
      </c>
      <c r="C8" s="226" t="s">
        <v>24</v>
      </c>
      <c r="D8" s="226" t="s">
        <v>106</v>
      </c>
      <c r="E8" s="226" t="s">
        <v>217</v>
      </c>
      <c r="F8" s="226" t="s">
        <v>209</v>
      </c>
    </row>
    <row r="9" spans="1:6" ht="26" customHeight="1" x14ac:dyDescent="0.2">
      <c r="A9" s="228" t="s">
        <v>218</v>
      </c>
      <c r="B9" s="229" t="s">
        <v>219</v>
      </c>
      <c r="C9" s="228" t="s">
        <v>220</v>
      </c>
      <c r="D9" s="228" t="s">
        <v>221</v>
      </c>
      <c r="E9" s="228" t="s">
        <v>222</v>
      </c>
      <c r="F9" s="228" t="s">
        <v>209</v>
      </c>
    </row>
    <row r="10" spans="1:6" ht="26" customHeight="1" x14ac:dyDescent="0.2">
      <c r="A10" s="226" t="s">
        <v>223</v>
      </c>
      <c r="B10" s="227" t="s">
        <v>224</v>
      </c>
      <c r="C10" s="226" t="s">
        <v>225</v>
      </c>
      <c r="D10" s="226" t="s">
        <v>226</v>
      </c>
      <c r="E10" s="226" t="s">
        <v>227</v>
      </c>
      <c r="F10" s="226" t="s">
        <v>228</v>
      </c>
    </row>
    <row r="11" spans="1:6" ht="26" customHeight="1" x14ac:dyDescent="0.2">
      <c r="A11" s="228" t="s">
        <v>229</v>
      </c>
      <c r="B11" s="229" t="s">
        <v>230</v>
      </c>
      <c r="C11" s="228" t="s">
        <v>231</v>
      </c>
      <c r="D11" s="228" t="s">
        <v>232</v>
      </c>
      <c r="E11" s="228" t="s">
        <v>233</v>
      </c>
      <c r="F11" s="228" t="s">
        <v>234</v>
      </c>
    </row>
    <row r="12" spans="1:6" ht="26" customHeight="1" x14ac:dyDescent="0.2">
      <c r="A12" s="226" t="s">
        <v>235</v>
      </c>
      <c r="B12" s="227" t="s">
        <v>236</v>
      </c>
      <c r="C12" s="226" t="s">
        <v>237</v>
      </c>
      <c r="D12" s="226" t="s">
        <v>238</v>
      </c>
      <c r="E12" s="226" t="s">
        <v>239</v>
      </c>
      <c r="F12" s="226" t="s">
        <v>209</v>
      </c>
    </row>
    <row r="13" spans="1:6" ht="26" customHeight="1" x14ac:dyDescent="0.2">
      <c r="A13" s="230" t="s">
        <v>240</v>
      </c>
      <c r="B13" s="231" t="s">
        <v>241</v>
      </c>
      <c r="C13" s="230" t="s">
        <v>138</v>
      </c>
      <c r="D13" s="230" t="s">
        <v>226</v>
      </c>
      <c r="E13" s="230" t="s">
        <v>242</v>
      </c>
      <c r="F13" s="230" t="s">
        <v>243</v>
      </c>
    </row>
    <row r="15" spans="1:6" x14ac:dyDescent="0.2">
      <c r="A15" s="270" t="s">
        <v>244</v>
      </c>
      <c r="B15" s="251"/>
      <c r="C15" s="251"/>
      <c r="D15" s="251"/>
      <c r="E15" s="251"/>
      <c r="F15" s="251"/>
    </row>
    <row r="16" spans="1:6" x14ac:dyDescent="0.2">
      <c r="A16" s="232" t="s">
        <v>95</v>
      </c>
      <c r="B16" s="232" t="s">
        <v>245</v>
      </c>
      <c r="C16" s="232" t="s">
        <v>246</v>
      </c>
      <c r="D16" s="232" t="s">
        <v>247</v>
      </c>
      <c r="E16" s="232" t="s">
        <v>248</v>
      </c>
      <c r="F16" s="232" t="s">
        <v>249</v>
      </c>
    </row>
    <row r="17" spans="1:6" ht="24" customHeight="1" x14ac:dyDescent="0.2">
      <c r="A17" s="233" t="s">
        <v>102</v>
      </c>
      <c r="B17" s="233" t="s">
        <v>24</v>
      </c>
      <c r="C17" s="233" t="s">
        <v>250</v>
      </c>
      <c r="D17" s="233" t="s">
        <v>251</v>
      </c>
      <c r="E17" s="233" t="s">
        <v>24</v>
      </c>
      <c r="F17" s="233" t="s">
        <v>106</v>
      </c>
    </row>
    <row r="18" spans="1:6" ht="24" customHeight="1" x14ac:dyDescent="0.2">
      <c r="A18" s="234" t="s">
        <v>252</v>
      </c>
      <c r="B18" s="234" t="s">
        <v>253</v>
      </c>
      <c r="C18" s="234" t="s">
        <v>254</v>
      </c>
      <c r="D18" s="234" t="s">
        <v>255</v>
      </c>
      <c r="E18" s="234" t="s">
        <v>256</v>
      </c>
      <c r="F18" s="234" t="s">
        <v>257</v>
      </c>
    </row>
    <row r="19" spans="1:6" ht="24" customHeight="1" x14ac:dyDescent="0.2">
      <c r="A19" s="233" t="s">
        <v>258</v>
      </c>
      <c r="B19" s="233" t="s">
        <v>259</v>
      </c>
      <c r="C19" s="233" t="s">
        <v>260</v>
      </c>
      <c r="D19" s="233" t="s">
        <v>261</v>
      </c>
      <c r="E19" s="233" t="s">
        <v>262</v>
      </c>
      <c r="F19" s="233" t="s">
        <v>263</v>
      </c>
    </row>
    <row r="20" spans="1:6" ht="24" customHeight="1" x14ac:dyDescent="0.2">
      <c r="A20" s="234" t="s">
        <v>264</v>
      </c>
      <c r="B20" s="234" t="s">
        <v>265</v>
      </c>
      <c r="C20" s="234" t="s">
        <v>266</v>
      </c>
      <c r="D20" s="234" t="s">
        <v>267</v>
      </c>
      <c r="E20" s="234" t="s">
        <v>268</v>
      </c>
      <c r="F20" s="234" t="s">
        <v>269</v>
      </c>
    </row>
    <row r="21" spans="1:6" ht="24" customHeight="1" x14ac:dyDescent="0.2">
      <c r="A21" s="233" t="s">
        <v>270</v>
      </c>
      <c r="B21" s="233" t="s">
        <v>271</v>
      </c>
      <c r="C21" s="233" t="s">
        <v>272</v>
      </c>
      <c r="D21" s="233" t="s">
        <v>273</v>
      </c>
      <c r="E21" s="233" t="s">
        <v>274</v>
      </c>
      <c r="F21" s="233" t="s">
        <v>275</v>
      </c>
    </row>
    <row r="22" spans="1:6" ht="24" customHeight="1" x14ac:dyDescent="0.2">
      <c r="A22" s="235" t="s">
        <v>276</v>
      </c>
      <c r="B22" s="235" t="s">
        <v>277</v>
      </c>
      <c r="C22" s="235" t="s">
        <v>278</v>
      </c>
      <c r="D22" s="235" t="s">
        <v>279</v>
      </c>
      <c r="E22" s="235" t="s">
        <v>280</v>
      </c>
      <c r="F22" s="235" t="s">
        <v>281</v>
      </c>
    </row>
    <row r="24" spans="1:6" x14ac:dyDescent="0.2">
      <c r="A24" s="265" t="s">
        <v>282</v>
      </c>
      <c r="B24" s="251"/>
      <c r="C24" s="251"/>
      <c r="D24" s="251"/>
      <c r="E24" s="251"/>
      <c r="F24" s="251"/>
    </row>
    <row r="25" spans="1:6" x14ac:dyDescent="0.2">
      <c r="A25" s="236" t="s">
        <v>43</v>
      </c>
      <c r="B25" s="236" t="s">
        <v>125</v>
      </c>
      <c r="C25" s="236" t="s">
        <v>128</v>
      </c>
      <c r="D25" s="236" t="s">
        <v>131</v>
      </c>
      <c r="E25" s="236" t="s">
        <v>134</v>
      </c>
      <c r="F25" s="236" t="s">
        <v>283</v>
      </c>
    </row>
    <row r="26" spans="1:6" ht="22" customHeight="1" x14ac:dyDescent="0.2">
      <c r="A26" s="237" t="s">
        <v>284</v>
      </c>
      <c r="B26" s="238" t="s">
        <v>285</v>
      </c>
      <c r="C26" s="238" t="s">
        <v>286</v>
      </c>
      <c r="D26" s="238" t="s">
        <v>287</v>
      </c>
      <c r="E26" s="238" t="s">
        <v>288</v>
      </c>
      <c r="F26" s="238" t="s">
        <v>289</v>
      </c>
    </row>
    <row r="27" spans="1:6" ht="22" customHeight="1" x14ac:dyDescent="0.2">
      <c r="A27" s="239" t="s">
        <v>290</v>
      </c>
      <c r="B27" s="234" t="s">
        <v>291</v>
      </c>
      <c r="C27" s="234" t="s">
        <v>292</v>
      </c>
      <c r="D27" s="234" t="s">
        <v>293</v>
      </c>
      <c r="E27" s="234" t="s">
        <v>294</v>
      </c>
      <c r="F27" s="234" t="s">
        <v>295</v>
      </c>
    </row>
    <row r="28" spans="1:6" ht="22" customHeight="1" x14ac:dyDescent="0.2">
      <c r="A28" s="237" t="s">
        <v>296</v>
      </c>
      <c r="B28" s="238" t="s">
        <v>24</v>
      </c>
      <c r="C28" s="238" t="s">
        <v>297</v>
      </c>
      <c r="D28" s="238" t="s">
        <v>298</v>
      </c>
      <c r="E28" s="238" t="s">
        <v>299</v>
      </c>
      <c r="F28" s="238" t="s">
        <v>300</v>
      </c>
    </row>
    <row r="29" spans="1:6" ht="22" customHeight="1" x14ac:dyDescent="0.2">
      <c r="A29" s="240" t="s">
        <v>301</v>
      </c>
      <c r="B29" s="235" t="s">
        <v>302</v>
      </c>
      <c r="C29" s="235" t="s">
        <v>303</v>
      </c>
      <c r="D29" s="235" t="s">
        <v>304</v>
      </c>
      <c r="E29" s="235" t="s">
        <v>305</v>
      </c>
      <c r="F29" s="235" t="s">
        <v>306</v>
      </c>
    </row>
    <row r="30" spans="1:6" ht="22" customHeight="1" x14ac:dyDescent="0.2">
      <c r="A30" s="241" t="s">
        <v>307</v>
      </c>
      <c r="B30" s="242" t="s">
        <v>308</v>
      </c>
      <c r="C30" s="242" t="s">
        <v>309</v>
      </c>
      <c r="D30" s="242" t="s">
        <v>310</v>
      </c>
      <c r="E30" s="242" t="s">
        <v>311</v>
      </c>
      <c r="F30" s="242" t="s">
        <v>312</v>
      </c>
    </row>
    <row r="32" spans="1:6" x14ac:dyDescent="0.2">
      <c r="A32" s="268" t="s">
        <v>313</v>
      </c>
      <c r="B32" s="251"/>
      <c r="C32" s="251"/>
      <c r="D32" s="251"/>
      <c r="E32" s="251"/>
      <c r="F32" s="251"/>
    </row>
    <row r="33" spans="1:6" x14ac:dyDescent="0.2">
      <c r="A33" s="243" t="s">
        <v>314</v>
      </c>
      <c r="B33" s="243" t="s">
        <v>315</v>
      </c>
      <c r="C33" s="243" t="s">
        <v>316</v>
      </c>
      <c r="D33" s="243" t="s">
        <v>317</v>
      </c>
      <c r="E33" s="243" t="s">
        <v>318</v>
      </c>
      <c r="F33" s="243" t="s">
        <v>319</v>
      </c>
    </row>
    <row r="34" spans="1:6" ht="26" customHeight="1" x14ac:dyDescent="0.2">
      <c r="A34" s="226" t="s">
        <v>320</v>
      </c>
      <c r="B34" s="226" t="s">
        <v>321</v>
      </c>
      <c r="C34" s="227" t="s">
        <v>322</v>
      </c>
      <c r="D34" s="226" t="s">
        <v>323</v>
      </c>
      <c r="E34" s="226" t="s">
        <v>324</v>
      </c>
      <c r="F34" s="227" t="s">
        <v>325</v>
      </c>
    </row>
    <row r="35" spans="1:6" ht="26" customHeight="1" x14ac:dyDescent="0.2">
      <c r="A35" s="226" t="s">
        <v>320</v>
      </c>
      <c r="B35" s="226" t="s">
        <v>321</v>
      </c>
      <c r="C35" s="227" t="s">
        <v>326</v>
      </c>
      <c r="D35" s="226" t="s">
        <v>323</v>
      </c>
      <c r="E35" s="226" t="s">
        <v>324</v>
      </c>
      <c r="F35" s="227" t="s">
        <v>327</v>
      </c>
    </row>
    <row r="36" spans="1:6" ht="26" customHeight="1" x14ac:dyDescent="0.2">
      <c r="A36" s="226" t="s">
        <v>328</v>
      </c>
      <c r="B36" s="226" t="s">
        <v>321</v>
      </c>
      <c r="C36" s="227" t="s">
        <v>329</v>
      </c>
      <c r="D36" s="226" t="s">
        <v>330</v>
      </c>
      <c r="E36" s="226" t="s">
        <v>331</v>
      </c>
      <c r="F36" s="227" t="s">
        <v>332</v>
      </c>
    </row>
    <row r="37" spans="1:6" ht="26" customHeight="1" x14ac:dyDescent="0.2">
      <c r="A37" s="226" t="s">
        <v>333</v>
      </c>
      <c r="B37" s="226" t="s">
        <v>321</v>
      </c>
      <c r="C37" s="227" t="s">
        <v>334</v>
      </c>
      <c r="D37" s="226" t="s">
        <v>335</v>
      </c>
      <c r="E37" s="226" t="s">
        <v>324</v>
      </c>
      <c r="F37" s="227" t="s">
        <v>336</v>
      </c>
    </row>
    <row r="38" spans="1:6" ht="26" customHeight="1" x14ac:dyDescent="0.2">
      <c r="A38" s="244" t="s">
        <v>333</v>
      </c>
      <c r="B38" s="244" t="s">
        <v>337</v>
      </c>
      <c r="C38" s="245" t="s">
        <v>338</v>
      </c>
      <c r="D38" s="244" t="s">
        <v>330</v>
      </c>
      <c r="E38" s="244" t="s">
        <v>339</v>
      </c>
      <c r="F38" s="245" t="s">
        <v>340</v>
      </c>
    </row>
    <row r="39" spans="1:6" ht="26" customHeight="1" x14ac:dyDescent="0.2">
      <c r="A39" s="244" t="s">
        <v>341</v>
      </c>
      <c r="B39" s="244" t="s">
        <v>337</v>
      </c>
      <c r="C39" s="245" t="s">
        <v>342</v>
      </c>
      <c r="D39" s="244" t="s">
        <v>335</v>
      </c>
      <c r="E39" s="244" t="s">
        <v>343</v>
      </c>
      <c r="F39" s="245" t="s">
        <v>344</v>
      </c>
    </row>
    <row r="40" spans="1:6" ht="26" customHeight="1" x14ac:dyDescent="0.2">
      <c r="A40" s="246" t="s">
        <v>345</v>
      </c>
      <c r="B40" s="246" t="s">
        <v>346</v>
      </c>
      <c r="C40" s="247" t="s">
        <v>347</v>
      </c>
      <c r="D40" s="246" t="s">
        <v>330</v>
      </c>
      <c r="E40" s="246" t="s">
        <v>348</v>
      </c>
      <c r="F40" s="247" t="s">
        <v>349</v>
      </c>
    </row>
    <row r="41" spans="1:6" ht="26" customHeight="1" x14ac:dyDescent="0.2">
      <c r="A41" s="246" t="s">
        <v>345</v>
      </c>
      <c r="B41" s="246" t="s">
        <v>346</v>
      </c>
      <c r="C41" s="247" t="s">
        <v>350</v>
      </c>
      <c r="D41" s="246" t="s">
        <v>330</v>
      </c>
      <c r="E41" s="246" t="s">
        <v>351</v>
      </c>
      <c r="F41" s="247" t="s">
        <v>352</v>
      </c>
    </row>
    <row r="42" spans="1:6" ht="26" customHeight="1" x14ac:dyDescent="0.2">
      <c r="A42" s="248" t="s">
        <v>353</v>
      </c>
      <c r="B42" s="248" t="s">
        <v>354</v>
      </c>
      <c r="C42" s="249" t="s">
        <v>355</v>
      </c>
      <c r="D42" s="248" t="s">
        <v>356</v>
      </c>
      <c r="E42" s="248" t="s">
        <v>357</v>
      </c>
      <c r="F42" s="249" t="s">
        <v>358</v>
      </c>
    </row>
    <row r="43" spans="1:6" ht="26" customHeight="1" x14ac:dyDescent="0.2">
      <c r="A43" s="248" t="s">
        <v>359</v>
      </c>
      <c r="B43" s="248" t="s">
        <v>354</v>
      </c>
      <c r="C43" s="249" t="s">
        <v>360</v>
      </c>
      <c r="D43" s="248" t="s">
        <v>361</v>
      </c>
      <c r="E43" s="248" t="s">
        <v>362</v>
      </c>
      <c r="F43" s="249" t="s">
        <v>363</v>
      </c>
    </row>
  </sheetData>
  <mergeCells count="6">
    <mergeCell ref="A24:F24"/>
    <mergeCell ref="A2:F2"/>
    <mergeCell ref="A1:F1"/>
    <mergeCell ref="A32:F32"/>
    <mergeCell ref="A4:F4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6"/>
  <sheetViews>
    <sheetView topLeftCell="A86" workbookViewId="0">
      <selection activeCell="F34" sqref="F34"/>
    </sheetView>
  </sheetViews>
  <sheetFormatPr baseColWidth="10" defaultRowHeight="16" x14ac:dyDescent="0.2"/>
  <cols>
    <col min="1" max="1" width="43.33203125" customWidth="1"/>
    <col min="2" max="3" width="23.33203125" customWidth="1"/>
    <col min="4" max="4" width="53.33203125" customWidth="1"/>
    <col min="5" max="5" width="20" customWidth="1"/>
    <col min="6" max="6" width="30" customWidth="1"/>
    <col min="7" max="7" width="46.6640625" customWidth="1"/>
  </cols>
  <sheetData>
    <row r="1" spans="1:7" ht="19" customHeight="1" x14ac:dyDescent="0.25">
      <c r="A1" s="37" t="s">
        <v>364</v>
      </c>
      <c r="B1" s="1"/>
      <c r="C1" s="1"/>
      <c r="D1" s="1"/>
      <c r="E1" s="1"/>
      <c r="F1" s="1"/>
      <c r="G1" s="1"/>
    </row>
    <row r="2" spans="1:7" x14ac:dyDescent="0.2">
      <c r="A2" s="38" t="s">
        <v>365</v>
      </c>
      <c r="B2" s="2"/>
      <c r="C2" s="2"/>
      <c r="D2" s="2"/>
      <c r="E2" s="2"/>
      <c r="F2" s="2"/>
      <c r="G2" s="2"/>
    </row>
    <row r="4" spans="1:7" x14ac:dyDescent="0.2">
      <c r="A4" s="38" t="s">
        <v>366</v>
      </c>
      <c r="B4" s="2"/>
      <c r="C4" s="2"/>
      <c r="D4" s="2"/>
    </row>
    <row r="5" spans="1:7" x14ac:dyDescent="0.2">
      <c r="A5" s="128" t="s">
        <v>154</v>
      </c>
      <c r="B5" s="129" t="s">
        <v>367</v>
      </c>
      <c r="C5" s="129" t="s">
        <v>368</v>
      </c>
      <c r="D5" s="128" t="s">
        <v>369</v>
      </c>
    </row>
    <row r="6" spans="1:7" x14ac:dyDescent="0.2">
      <c r="A6" s="6" t="s">
        <v>370</v>
      </c>
      <c r="B6" s="130" t="s">
        <v>371</v>
      </c>
      <c r="C6" s="14" t="s">
        <v>138</v>
      </c>
      <c r="D6" s="6" t="s">
        <v>372</v>
      </c>
    </row>
    <row r="7" spans="1:7" x14ac:dyDescent="0.2">
      <c r="A7" s="6" t="s">
        <v>373</v>
      </c>
      <c r="B7" s="130" t="s">
        <v>374</v>
      </c>
      <c r="C7" s="14" t="s">
        <v>138</v>
      </c>
      <c r="D7" s="6" t="s">
        <v>375</v>
      </c>
    </row>
    <row r="8" spans="1:7" x14ac:dyDescent="0.2">
      <c r="A8" s="6" t="s">
        <v>376</v>
      </c>
      <c r="B8" s="130">
        <v>2.37</v>
      </c>
      <c r="C8" s="14" t="s">
        <v>377</v>
      </c>
      <c r="D8" s="6" t="s">
        <v>378</v>
      </c>
    </row>
    <row r="9" spans="1:7" x14ac:dyDescent="0.2">
      <c r="A9" s="6" t="s">
        <v>379</v>
      </c>
      <c r="B9" s="130">
        <v>9</v>
      </c>
      <c r="C9" s="14" t="s">
        <v>380</v>
      </c>
      <c r="D9" s="6" t="s">
        <v>381</v>
      </c>
    </row>
    <row r="10" spans="1:7" x14ac:dyDescent="0.2">
      <c r="A10" s="6" t="s">
        <v>382</v>
      </c>
      <c r="B10" s="130">
        <v>26</v>
      </c>
      <c r="C10" s="14" t="s">
        <v>383</v>
      </c>
      <c r="D10" s="6" t="s">
        <v>384</v>
      </c>
    </row>
    <row r="11" spans="1:7" x14ac:dyDescent="0.2">
      <c r="A11" s="7" t="s">
        <v>385</v>
      </c>
      <c r="B11" s="12">
        <f>B8*B9*B10</f>
        <v>554.58000000000004</v>
      </c>
      <c r="C11" s="14" t="s">
        <v>386</v>
      </c>
      <c r="D11" s="6" t="s">
        <v>387</v>
      </c>
    </row>
    <row r="12" spans="1:7" x14ac:dyDescent="0.2">
      <c r="A12" s="6" t="s">
        <v>388</v>
      </c>
      <c r="B12" s="131">
        <v>0.65</v>
      </c>
      <c r="C12" s="14" t="s">
        <v>389</v>
      </c>
      <c r="D12" s="6" t="s">
        <v>390</v>
      </c>
    </row>
    <row r="13" spans="1:7" x14ac:dyDescent="0.2">
      <c r="A13" s="6" t="s">
        <v>391</v>
      </c>
      <c r="B13" s="132">
        <f>1-B12</f>
        <v>0.35</v>
      </c>
      <c r="C13" s="14" t="s">
        <v>389</v>
      </c>
      <c r="D13" s="6" t="s">
        <v>392</v>
      </c>
    </row>
    <row r="14" spans="1:7" x14ac:dyDescent="0.2">
      <c r="A14" s="6" t="s">
        <v>393</v>
      </c>
      <c r="B14" s="133">
        <v>0.03</v>
      </c>
      <c r="C14" s="14" t="s">
        <v>389</v>
      </c>
      <c r="D14" s="6" t="s">
        <v>394</v>
      </c>
    </row>
    <row r="15" spans="1:7" x14ac:dyDescent="0.2">
      <c r="A15" s="6" t="s">
        <v>395</v>
      </c>
      <c r="B15" s="130">
        <v>1.41</v>
      </c>
      <c r="C15" s="14" t="s">
        <v>396</v>
      </c>
      <c r="D15" s="6" t="s">
        <v>397</v>
      </c>
    </row>
    <row r="17" spans="1:6" x14ac:dyDescent="0.2">
      <c r="A17" s="38" t="s">
        <v>398</v>
      </c>
      <c r="B17" s="2"/>
      <c r="C17" s="2"/>
      <c r="D17" s="2"/>
    </row>
    <row r="18" spans="1:6" x14ac:dyDescent="0.2">
      <c r="A18" s="128" t="s">
        <v>154</v>
      </c>
      <c r="B18" s="129" t="s">
        <v>367</v>
      </c>
      <c r="C18" s="129" t="s">
        <v>368</v>
      </c>
      <c r="D18" s="128" t="s">
        <v>369</v>
      </c>
    </row>
    <row r="19" spans="1:6" x14ac:dyDescent="0.2">
      <c r="A19" s="6" t="s">
        <v>399</v>
      </c>
      <c r="B19" s="130">
        <v>200</v>
      </c>
      <c r="C19" s="14" t="s">
        <v>377</v>
      </c>
      <c r="D19" s="6" t="s">
        <v>400</v>
      </c>
    </row>
    <row r="20" spans="1:6" x14ac:dyDescent="0.2">
      <c r="A20" s="6" t="s">
        <v>401</v>
      </c>
      <c r="B20" s="130">
        <v>120</v>
      </c>
      <c r="C20" s="14" t="s">
        <v>377</v>
      </c>
      <c r="D20" s="6" t="s">
        <v>402</v>
      </c>
    </row>
    <row r="21" spans="1:6" x14ac:dyDescent="0.2">
      <c r="A21" s="6" t="s">
        <v>403</v>
      </c>
      <c r="B21" s="130">
        <v>30</v>
      </c>
      <c r="C21" s="14" t="s">
        <v>377</v>
      </c>
      <c r="D21" s="6" t="s">
        <v>404</v>
      </c>
    </row>
    <row r="22" spans="1:6" x14ac:dyDescent="0.2">
      <c r="A22" s="7" t="s">
        <v>405</v>
      </c>
      <c r="B22" s="12">
        <f>SUM(B19:B21)</f>
        <v>350</v>
      </c>
      <c r="C22" s="14" t="s">
        <v>406</v>
      </c>
      <c r="D22" s="6" t="s">
        <v>407</v>
      </c>
    </row>
    <row r="23" spans="1:6" x14ac:dyDescent="0.2">
      <c r="A23" s="7" t="s">
        <v>408</v>
      </c>
      <c r="B23" s="12">
        <f>B11-B22</f>
        <v>204.58000000000004</v>
      </c>
      <c r="C23" s="14" t="s">
        <v>406</v>
      </c>
      <c r="D23" s="6" t="s">
        <v>409</v>
      </c>
    </row>
    <row r="24" spans="1:6" x14ac:dyDescent="0.2">
      <c r="A24" s="7" t="s">
        <v>410</v>
      </c>
      <c r="B24" s="12">
        <f>B23-B50</f>
        <v>172.33000000000004</v>
      </c>
      <c r="C24" s="14" t="s">
        <v>406</v>
      </c>
      <c r="D24" s="6" t="s">
        <v>411</v>
      </c>
    </row>
    <row r="26" spans="1:6" x14ac:dyDescent="0.2">
      <c r="A26" s="38" t="s">
        <v>412</v>
      </c>
      <c r="B26" s="2"/>
      <c r="C26" s="2"/>
      <c r="D26" s="2"/>
    </row>
    <row r="27" spans="1:6" x14ac:dyDescent="0.2">
      <c r="A27" s="128" t="s">
        <v>154</v>
      </c>
      <c r="B27" s="129" t="s">
        <v>367</v>
      </c>
      <c r="C27" s="129" t="s">
        <v>368</v>
      </c>
      <c r="D27" s="128" t="s">
        <v>369</v>
      </c>
    </row>
    <row r="28" spans="1:6" x14ac:dyDescent="0.2">
      <c r="A28" s="6" t="s">
        <v>413</v>
      </c>
      <c r="B28" s="130">
        <v>250</v>
      </c>
      <c r="C28" s="14" t="s">
        <v>414</v>
      </c>
      <c r="D28" s="6" t="s">
        <v>415</v>
      </c>
    </row>
    <row r="29" spans="1:6" x14ac:dyDescent="0.2">
      <c r="A29" s="6" t="s">
        <v>416</v>
      </c>
      <c r="B29" s="131">
        <v>0.28000000000000003</v>
      </c>
      <c r="C29" s="14" t="s">
        <v>417</v>
      </c>
      <c r="D29" s="6" t="s">
        <v>418</v>
      </c>
    </row>
    <row r="30" spans="1:6" x14ac:dyDescent="0.2">
      <c r="A30" s="6" t="s">
        <v>419</v>
      </c>
      <c r="B30" s="134">
        <v>25000</v>
      </c>
      <c r="C30" s="14" t="s">
        <v>414</v>
      </c>
      <c r="D30" s="6" t="s">
        <v>420</v>
      </c>
    </row>
    <row r="32" spans="1:6" x14ac:dyDescent="0.2">
      <c r="A32" s="38" t="s">
        <v>421</v>
      </c>
      <c r="B32" s="2"/>
      <c r="C32" s="2"/>
      <c r="D32" s="2"/>
      <c r="E32" s="2"/>
      <c r="F32" s="2"/>
    </row>
    <row r="33" spans="1:7" x14ac:dyDescent="0.2">
      <c r="A33" s="128" t="s">
        <v>422</v>
      </c>
      <c r="B33" s="129" t="s">
        <v>423</v>
      </c>
      <c r="C33" s="129" t="s">
        <v>424</v>
      </c>
      <c r="D33" s="129" t="s">
        <v>425</v>
      </c>
      <c r="E33" s="129" t="s">
        <v>426</v>
      </c>
      <c r="F33" s="129" t="s">
        <v>158</v>
      </c>
    </row>
    <row r="34" spans="1:7" x14ac:dyDescent="0.2">
      <c r="A34" s="7" t="s">
        <v>427</v>
      </c>
      <c r="B34" s="14" t="s">
        <v>428</v>
      </c>
      <c r="C34" s="135">
        <v>0</v>
      </c>
      <c r="D34" s="130" t="s">
        <v>429</v>
      </c>
      <c r="E34" s="131">
        <v>0.3</v>
      </c>
      <c r="F34" s="6" t="s">
        <v>430</v>
      </c>
    </row>
    <row r="35" spans="1:7" x14ac:dyDescent="0.2">
      <c r="A35" s="7" t="s">
        <v>431</v>
      </c>
      <c r="B35" s="14" t="s">
        <v>428</v>
      </c>
      <c r="C35" s="135">
        <v>10</v>
      </c>
      <c r="D35" s="130" t="s">
        <v>432</v>
      </c>
      <c r="E35" s="131">
        <v>0.12</v>
      </c>
      <c r="F35" s="6" t="s">
        <v>433</v>
      </c>
    </row>
    <row r="36" spans="1:7" x14ac:dyDescent="0.2">
      <c r="A36" s="7" t="s">
        <v>434</v>
      </c>
      <c r="B36" s="14" t="s">
        <v>435</v>
      </c>
      <c r="C36" s="14" t="s">
        <v>436</v>
      </c>
      <c r="D36" s="14" t="s">
        <v>437</v>
      </c>
      <c r="E36" s="14" t="s">
        <v>438</v>
      </c>
      <c r="F36" s="14" t="s">
        <v>439</v>
      </c>
    </row>
    <row r="38" spans="1:7" x14ac:dyDescent="0.2">
      <c r="A38" s="38" t="s">
        <v>440</v>
      </c>
      <c r="B38" s="2"/>
      <c r="C38" s="2"/>
    </row>
    <row r="39" spans="1:7" x14ac:dyDescent="0.2">
      <c r="A39" s="128" t="s">
        <v>441</v>
      </c>
      <c r="B39" s="129" t="s">
        <v>442</v>
      </c>
      <c r="C39" s="128" t="s">
        <v>158</v>
      </c>
    </row>
    <row r="40" spans="1:7" x14ac:dyDescent="0.2">
      <c r="A40" s="6" t="s">
        <v>443</v>
      </c>
      <c r="B40" s="131">
        <v>0.25</v>
      </c>
      <c r="C40" s="6" t="s">
        <v>444</v>
      </c>
      <c r="D40" t="s">
        <v>445</v>
      </c>
    </row>
    <row r="41" spans="1:7" x14ac:dyDescent="0.2">
      <c r="A41" s="6" t="s">
        <v>446</v>
      </c>
      <c r="B41" s="131">
        <v>0.12</v>
      </c>
      <c r="C41" s="6" t="s">
        <v>447</v>
      </c>
    </row>
    <row r="42" spans="1:7" x14ac:dyDescent="0.2">
      <c r="A42" s="6" t="s">
        <v>448</v>
      </c>
      <c r="B42" s="133">
        <v>0.04</v>
      </c>
      <c r="C42" s="6" t="s">
        <v>449</v>
      </c>
    </row>
    <row r="43" spans="1:7" x14ac:dyDescent="0.2">
      <c r="A43" s="6" t="s">
        <v>450</v>
      </c>
      <c r="B43" s="133">
        <v>0.02</v>
      </c>
      <c r="C43" s="6" t="s">
        <v>451</v>
      </c>
    </row>
    <row r="45" spans="1:7" x14ac:dyDescent="0.2">
      <c r="A45" s="38" t="s">
        <v>452</v>
      </c>
      <c r="B45" s="2"/>
      <c r="C45" s="2"/>
      <c r="D45" s="2"/>
      <c r="E45" s="2"/>
      <c r="F45" s="2"/>
      <c r="G45" s="2"/>
    </row>
    <row r="46" spans="1:7" x14ac:dyDescent="0.2">
      <c r="A46" s="128" t="s">
        <v>453</v>
      </c>
      <c r="B46" s="129" t="s">
        <v>96</v>
      </c>
      <c r="C46" s="129" t="s">
        <v>454</v>
      </c>
      <c r="D46" s="129" t="s">
        <v>455</v>
      </c>
      <c r="E46" s="129" t="s">
        <v>456</v>
      </c>
      <c r="F46" s="129" t="s">
        <v>457</v>
      </c>
      <c r="G46" s="129" t="s">
        <v>458</v>
      </c>
    </row>
    <row r="47" spans="1:7" x14ac:dyDescent="0.2">
      <c r="A47" s="16" t="s">
        <v>459</v>
      </c>
      <c r="B47" s="130">
        <v>20</v>
      </c>
      <c r="C47" s="14">
        <f>B47*$B$15</f>
        <v>28.2</v>
      </c>
      <c r="D47" s="131">
        <v>0.45</v>
      </c>
      <c r="E47" s="130">
        <v>8</v>
      </c>
      <c r="F47" s="14">
        <f>E47*$B$8*$B$10</f>
        <v>492.96000000000004</v>
      </c>
      <c r="G47" s="6" t="s">
        <v>460</v>
      </c>
    </row>
    <row r="48" spans="1:7" x14ac:dyDescent="0.2">
      <c r="A48" s="16" t="s">
        <v>461</v>
      </c>
      <c r="B48" s="130">
        <v>35</v>
      </c>
      <c r="C48" s="14">
        <f>B48*$B$15</f>
        <v>49.349999999999994</v>
      </c>
      <c r="D48" s="131">
        <v>0.35</v>
      </c>
      <c r="E48" s="130">
        <v>9</v>
      </c>
      <c r="F48" s="14">
        <f>E48*$B$8*$B$10</f>
        <v>554.58000000000004</v>
      </c>
      <c r="G48" s="6" t="s">
        <v>462</v>
      </c>
    </row>
    <row r="49" spans="1:7" x14ac:dyDescent="0.2">
      <c r="A49" s="16" t="s">
        <v>463</v>
      </c>
      <c r="B49" s="130">
        <v>55</v>
      </c>
      <c r="C49" s="14">
        <f>B49*$B$15</f>
        <v>77.55</v>
      </c>
      <c r="D49" s="131">
        <v>0.2</v>
      </c>
      <c r="E49" s="130">
        <v>12</v>
      </c>
      <c r="F49" s="14">
        <f>E49*$B$8*$B$10</f>
        <v>739.44</v>
      </c>
      <c r="G49" s="6" t="s">
        <v>464</v>
      </c>
    </row>
    <row r="50" spans="1:7" x14ac:dyDescent="0.2">
      <c r="A50" s="16" t="s">
        <v>465</v>
      </c>
      <c r="B50" s="12">
        <f>SUMPRODUCT(B47:B49,D47:D49)</f>
        <v>32.25</v>
      </c>
      <c r="D50" s="7" t="s">
        <v>466</v>
      </c>
      <c r="E50" s="16">
        <f>SUM(D47:D49)</f>
        <v>1</v>
      </c>
    </row>
    <row r="51" spans="1:7" x14ac:dyDescent="0.2">
      <c r="A51" s="16" t="s">
        <v>467</v>
      </c>
      <c r="B51" s="12">
        <f>B50*B15</f>
        <v>45.472499999999997</v>
      </c>
    </row>
    <row r="53" spans="1:7" x14ac:dyDescent="0.2">
      <c r="A53" s="39" t="s">
        <v>468</v>
      </c>
      <c r="B53" s="2"/>
      <c r="C53" s="2"/>
      <c r="D53" s="2"/>
    </row>
    <row r="54" spans="1:7" x14ac:dyDescent="0.2">
      <c r="A54" s="129" t="s">
        <v>469</v>
      </c>
      <c r="B54" s="129" t="s">
        <v>470</v>
      </c>
      <c r="C54" s="129" t="s">
        <v>471</v>
      </c>
      <c r="D54" s="129" t="s">
        <v>472</v>
      </c>
    </row>
    <row r="55" spans="1:7" x14ac:dyDescent="0.2">
      <c r="A55" s="6" t="s">
        <v>473</v>
      </c>
      <c r="B55" s="130">
        <v>5</v>
      </c>
      <c r="C55" s="14" t="s">
        <v>474</v>
      </c>
      <c r="D55" s="6" t="s">
        <v>475</v>
      </c>
    </row>
    <row r="56" spans="1:7" x14ac:dyDescent="0.2">
      <c r="A56" s="6" t="s">
        <v>476</v>
      </c>
      <c r="B56" s="130">
        <v>8</v>
      </c>
      <c r="C56" s="14" t="s">
        <v>477</v>
      </c>
      <c r="D56" s="6" t="s">
        <v>478</v>
      </c>
    </row>
    <row r="57" spans="1:7" x14ac:dyDescent="0.2">
      <c r="A57" s="6" t="s">
        <v>479</v>
      </c>
      <c r="B57" s="130">
        <v>3</v>
      </c>
      <c r="C57" s="14" t="s">
        <v>480</v>
      </c>
      <c r="D57" s="6" t="s">
        <v>481</v>
      </c>
    </row>
    <row r="58" spans="1:7" x14ac:dyDescent="0.2">
      <c r="A58" s="6" t="s">
        <v>482</v>
      </c>
      <c r="B58" s="130">
        <v>2</v>
      </c>
      <c r="C58" s="14" t="s">
        <v>477</v>
      </c>
      <c r="D58" s="6" t="s">
        <v>483</v>
      </c>
    </row>
    <row r="59" spans="1:7" x14ac:dyDescent="0.2">
      <c r="A59" s="7" t="s">
        <v>484</v>
      </c>
      <c r="B59" s="12">
        <f>B55+(B56*D49)+(B57*(D48+D49))+(B58*D49)</f>
        <v>8.65</v>
      </c>
      <c r="C59" s="14" t="s">
        <v>377</v>
      </c>
      <c r="D59" s="6" t="s">
        <v>485</v>
      </c>
    </row>
    <row r="61" spans="1:7" x14ac:dyDescent="0.2">
      <c r="A61" s="38" t="s">
        <v>486</v>
      </c>
      <c r="B61" s="2"/>
      <c r="C61" s="2"/>
      <c r="D61" s="2"/>
    </row>
    <row r="62" spans="1:7" x14ac:dyDescent="0.2">
      <c r="A62" s="128" t="s">
        <v>487</v>
      </c>
      <c r="B62" s="129" t="s">
        <v>488</v>
      </c>
      <c r="C62" s="129" t="s">
        <v>176</v>
      </c>
      <c r="D62" s="128" t="s">
        <v>158</v>
      </c>
    </row>
    <row r="63" spans="1:7" x14ac:dyDescent="0.2">
      <c r="A63" s="6" t="s">
        <v>489</v>
      </c>
      <c r="B63" s="130">
        <v>800</v>
      </c>
      <c r="C63" s="14" t="s">
        <v>490</v>
      </c>
      <c r="D63" s="6" t="s">
        <v>491</v>
      </c>
    </row>
    <row r="64" spans="1:7" x14ac:dyDescent="0.2">
      <c r="A64" s="6" t="s">
        <v>492</v>
      </c>
      <c r="B64" s="130">
        <v>400</v>
      </c>
      <c r="C64" s="14" t="s">
        <v>493</v>
      </c>
      <c r="D64" s="6" t="s">
        <v>494</v>
      </c>
    </row>
    <row r="65" spans="1:4" x14ac:dyDescent="0.2">
      <c r="A65" s="6" t="s">
        <v>495</v>
      </c>
      <c r="B65" s="130">
        <v>200</v>
      </c>
      <c r="C65" s="14" t="s">
        <v>493</v>
      </c>
      <c r="D65" s="6" t="s">
        <v>496</v>
      </c>
    </row>
    <row r="66" spans="1:4" x14ac:dyDescent="0.2">
      <c r="A66" s="6" t="s">
        <v>497</v>
      </c>
      <c r="B66" s="130">
        <v>1500</v>
      </c>
      <c r="C66" s="14" t="s">
        <v>490</v>
      </c>
      <c r="D66" s="6" t="s">
        <v>498</v>
      </c>
    </row>
    <row r="67" spans="1:4" x14ac:dyDescent="0.2">
      <c r="A67" s="6" t="s">
        <v>499</v>
      </c>
      <c r="B67" s="130">
        <v>15</v>
      </c>
      <c r="C67" s="14" t="s">
        <v>500</v>
      </c>
      <c r="D67" s="6" t="s">
        <v>501</v>
      </c>
    </row>
    <row r="68" spans="1:4" x14ac:dyDescent="0.2">
      <c r="A68" s="6" t="s">
        <v>502</v>
      </c>
      <c r="B68" s="130">
        <v>30</v>
      </c>
      <c r="C68" s="14" t="s">
        <v>503</v>
      </c>
      <c r="D68" s="6" t="s">
        <v>504</v>
      </c>
    </row>
    <row r="69" spans="1:4" x14ac:dyDescent="0.2">
      <c r="A69" s="6" t="s">
        <v>505</v>
      </c>
      <c r="B69" s="130">
        <v>3000</v>
      </c>
      <c r="C69" s="14" t="s">
        <v>506</v>
      </c>
      <c r="D69" s="6" t="s">
        <v>507</v>
      </c>
    </row>
    <row r="71" spans="1:4" x14ac:dyDescent="0.2">
      <c r="A71" s="38" t="s">
        <v>508</v>
      </c>
      <c r="B71" s="2"/>
      <c r="C71" s="2"/>
    </row>
    <row r="72" spans="1:4" x14ac:dyDescent="0.2">
      <c r="A72" s="128" t="s">
        <v>509</v>
      </c>
      <c r="B72" s="129" t="s">
        <v>510</v>
      </c>
      <c r="C72" s="129" t="s">
        <v>158</v>
      </c>
    </row>
    <row r="73" spans="1:4" x14ac:dyDescent="0.2">
      <c r="A73" s="6" t="s">
        <v>511</v>
      </c>
      <c r="B73" s="131">
        <v>0.15</v>
      </c>
      <c r="C73" s="6" t="s">
        <v>512</v>
      </c>
    </row>
    <row r="74" spans="1:4" x14ac:dyDescent="0.2">
      <c r="A74" s="6" t="s">
        <v>513</v>
      </c>
      <c r="B74" s="131">
        <v>7.0000000000000007E-2</v>
      </c>
      <c r="C74" s="6" t="s">
        <v>514</v>
      </c>
    </row>
    <row r="75" spans="1:4" x14ac:dyDescent="0.2">
      <c r="A75" s="6" t="s">
        <v>515</v>
      </c>
      <c r="B75" s="131">
        <v>0.1</v>
      </c>
      <c r="C75" s="6" t="s">
        <v>516</v>
      </c>
    </row>
    <row r="77" spans="1:4" x14ac:dyDescent="0.2">
      <c r="A77" s="38" t="s">
        <v>517</v>
      </c>
      <c r="B77" s="2"/>
      <c r="C77" s="2"/>
      <c r="D77" s="2"/>
    </row>
    <row r="78" spans="1:4" x14ac:dyDescent="0.2">
      <c r="A78" s="128" t="s">
        <v>518</v>
      </c>
      <c r="B78" s="129" t="s">
        <v>519</v>
      </c>
      <c r="C78" s="129" t="s">
        <v>488</v>
      </c>
      <c r="D78" s="128" t="s">
        <v>158</v>
      </c>
    </row>
    <row r="79" spans="1:4" x14ac:dyDescent="0.2">
      <c r="A79" s="6" t="s">
        <v>520</v>
      </c>
      <c r="B79" s="130">
        <v>1</v>
      </c>
      <c r="C79" s="130">
        <v>2000</v>
      </c>
      <c r="D79" s="6" t="s">
        <v>521</v>
      </c>
    </row>
    <row r="80" spans="1:4" x14ac:dyDescent="0.2">
      <c r="A80" s="6" t="s">
        <v>522</v>
      </c>
      <c r="B80" s="130">
        <v>1</v>
      </c>
      <c r="C80" s="130">
        <v>1800</v>
      </c>
      <c r="D80" s="6" t="s">
        <v>523</v>
      </c>
    </row>
    <row r="81" spans="1:4" x14ac:dyDescent="0.2">
      <c r="A81" s="6" t="s">
        <v>524</v>
      </c>
      <c r="B81" s="130">
        <v>1</v>
      </c>
      <c r="C81" s="130">
        <v>1200</v>
      </c>
      <c r="D81" s="6" t="s">
        <v>525</v>
      </c>
    </row>
    <row r="82" spans="1:4" x14ac:dyDescent="0.2">
      <c r="A82" s="6" t="s">
        <v>526</v>
      </c>
      <c r="B82" s="130">
        <v>1</v>
      </c>
      <c r="C82" s="130">
        <v>1000</v>
      </c>
      <c r="D82" s="6" t="s">
        <v>527</v>
      </c>
    </row>
    <row r="83" spans="1:4" x14ac:dyDescent="0.2">
      <c r="A83" s="6" t="s">
        <v>528</v>
      </c>
      <c r="B83" s="130">
        <v>0.5</v>
      </c>
      <c r="C83" s="130">
        <v>600</v>
      </c>
      <c r="D83" s="6" t="s">
        <v>529</v>
      </c>
    </row>
    <row r="84" spans="1:4" x14ac:dyDescent="0.2">
      <c r="A84" s="6" t="s">
        <v>530</v>
      </c>
      <c r="B84" s="14" t="s">
        <v>138</v>
      </c>
      <c r="C84" s="130">
        <v>500</v>
      </c>
      <c r="D84" s="6" t="s">
        <v>531</v>
      </c>
    </row>
    <row r="85" spans="1:4" x14ac:dyDescent="0.2">
      <c r="A85" s="6" t="s">
        <v>532</v>
      </c>
      <c r="B85" s="14" t="s">
        <v>138</v>
      </c>
      <c r="C85" s="130">
        <v>400</v>
      </c>
      <c r="D85" s="6" t="s">
        <v>533</v>
      </c>
    </row>
    <row r="86" spans="1:4" x14ac:dyDescent="0.2">
      <c r="A86" s="6" t="s">
        <v>534</v>
      </c>
      <c r="B86" s="14" t="s">
        <v>138</v>
      </c>
      <c r="C86" s="130">
        <v>500</v>
      </c>
      <c r="D86" s="6" t="s">
        <v>535</v>
      </c>
    </row>
    <row r="87" spans="1:4" x14ac:dyDescent="0.2">
      <c r="A87" s="7" t="s">
        <v>536</v>
      </c>
      <c r="B87" s="12">
        <f>SUM(B79:B86)</f>
        <v>4.5</v>
      </c>
      <c r="C87" s="12">
        <v>7500</v>
      </c>
      <c r="D87" s="6" t="s">
        <v>537</v>
      </c>
    </row>
    <row r="89" spans="1:4" x14ac:dyDescent="0.2">
      <c r="A89" s="38" t="s">
        <v>538</v>
      </c>
      <c r="B89" s="2"/>
      <c r="C89" s="2"/>
      <c r="D89" s="2"/>
    </row>
    <row r="90" spans="1:4" x14ac:dyDescent="0.2">
      <c r="A90" s="128" t="s">
        <v>539</v>
      </c>
      <c r="B90" s="129" t="s">
        <v>540</v>
      </c>
      <c r="C90" s="129" t="s">
        <v>541</v>
      </c>
      <c r="D90" s="128" t="s">
        <v>158</v>
      </c>
    </row>
    <row r="91" spans="1:4" x14ac:dyDescent="0.2">
      <c r="A91" s="6" t="s">
        <v>542</v>
      </c>
      <c r="B91" s="134">
        <v>100000</v>
      </c>
      <c r="C91" s="15">
        <f>B91/12</f>
        <v>8333.3333333333339</v>
      </c>
      <c r="D91" s="6" t="s">
        <v>543</v>
      </c>
    </row>
    <row r="92" spans="1:4" x14ac:dyDescent="0.2">
      <c r="A92" s="6" t="s">
        <v>544</v>
      </c>
      <c r="B92" s="130">
        <v>70</v>
      </c>
      <c r="C92" s="14" t="s">
        <v>545</v>
      </c>
      <c r="D92" s="6" t="s">
        <v>546</v>
      </c>
    </row>
    <row r="93" spans="1:4" x14ac:dyDescent="0.2">
      <c r="A93" s="6" t="s">
        <v>547</v>
      </c>
      <c r="B93" s="130">
        <v>200</v>
      </c>
      <c r="C93" s="14" t="s">
        <v>548</v>
      </c>
      <c r="D93" s="6" t="s">
        <v>549</v>
      </c>
    </row>
    <row r="94" spans="1:4" x14ac:dyDescent="0.2">
      <c r="A94" s="6" t="s">
        <v>550</v>
      </c>
      <c r="B94" s="134" t="s">
        <v>551</v>
      </c>
      <c r="C94" s="15">
        <f>B94/12</f>
        <v>2083.3333333333335</v>
      </c>
      <c r="D94" s="6" t="s">
        <v>552</v>
      </c>
    </row>
    <row r="95" spans="1:4" x14ac:dyDescent="0.2">
      <c r="A95" s="6" t="s">
        <v>553</v>
      </c>
      <c r="B95" s="134">
        <v>5000</v>
      </c>
      <c r="C95" s="14" t="s">
        <v>187</v>
      </c>
      <c r="D95" s="6" t="s">
        <v>554</v>
      </c>
    </row>
    <row r="96" spans="1:4" x14ac:dyDescent="0.2">
      <c r="A96" s="6" t="s">
        <v>555</v>
      </c>
      <c r="B96" s="134">
        <v>3000</v>
      </c>
      <c r="C96" s="15">
        <f>B96/12</f>
        <v>250</v>
      </c>
      <c r="D96" s="6" t="s">
        <v>556</v>
      </c>
    </row>
    <row r="98" spans="1:4" x14ac:dyDescent="0.2">
      <c r="A98" s="7" t="s">
        <v>557</v>
      </c>
      <c r="B98" s="20">
        <f>B91+B94+B95+B96</f>
        <v>133000</v>
      </c>
      <c r="C98" s="13">
        <f>B98/12</f>
        <v>11083.333333333334</v>
      </c>
      <c r="D98" s="6" t="s">
        <v>558</v>
      </c>
    </row>
    <row r="100" spans="1:4" x14ac:dyDescent="0.2">
      <c r="A100" s="38" t="s">
        <v>559</v>
      </c>
      <c r="B100" s="2"/>
      <c r="C100" s="2"/>
      <c r="D100" s="2"/>
    </row>
    <row r="101" spans="1:4" x14ac:dyDescent="0.2">
      <c r="A101" s="128" t="s">
        <v>539</v>
      </c>
      <c r="B101" s="129" t="s">
        <v>560</v>
      </c>
      <c r="C101" s="129" t="s">
        <v>561</v>
      </c>
      <c r="D101" s="128" t="s">
        <v>158</v>
      </c>
    </row>
    <row r="102" spans="1:4" x14ac:dyDescent="0.2">
      <c r="A102" s="6" t="s">
        <v>562</v>
      </c>
      <c r="B102" s="134">
        <v>35000</v>
      </c>
      <c r="C102" s="19">
        <f t="shared" ref="C102:C107" si="0">B102*$B$15</f>
        <v>49350</v>
      </c>
      <c r="D102" s="6" t="s">
        <v>563</v>
      </c>
    </row>
    <row r="103" spans="1:4" x14ac:dyDescent="0.2">
      <c r="A103" s="6" t="s">
        <v>564</v>
      </c>
      <c r="B103" s="19">
        <f>B91</f>
        <v>100000</v>
      </c>
      <c r="C103" s="19">
        <f t="shared" si="0"/>
        <v>141000</v>
      </c>
      <c r="D103" s="6" t="s">
        <v>565</v>
      </c>
    </row>
    <row r="104" spans="1:4" x14ac:dyDescent="0.2">
      <c r="A104" s="6" t="s">
        <v>550</v>
      </c>
      <c r="B104" s="19" t="str">
        <f>B94</f>
        <v>25000</v>
      </c>
      <c r="C104" s="19">
        <f t="shared" si="0"/>
        <v>35250</v>
      </c>
      <c r="D104" s="6" t="s">
        <v>566</v>
      </c>
    </row>
    <row r="105" spans="1:4" x14ac:dyDescent="0.2">
      <c r="A105" s="6" t="s">
        <v>567</v>
      </c>
      <c r="B105" s="19">
        <f>B95</f>
        <v>5000</v>
      </c>
      <c r="C105" s="19">
        <f t="shared" si="0"/>
        <v>7050</v>
      </c>
      <c r="D105" s="6" t="s">
        <v>568</v>
      </c>
    </row>
    <row r="106" spans="1:4" x14ac:dyDescent="0.2">
      <c r="A106" s="6" t="s">
        <v>569</v>
      </c>
      <c r="B106" s="134">
        <v>10000</v>
      </c>
      <c r="C106" s="19">
        <f t="shared" si="0"/>
        <v>14100</v>
      </c>
      <c r="D106" s="6" t="s">
        <v>570</v>
      </c>
    </row>
    <row r="107" spans="1:4" x14ac:dyDescent="0.2">
      <c r="A107" s="6" t="s">
        <v>571</v>
      </c>
      <c r="B107" s="134">
        <v>40000</v>
      </c>
      <c r="C107" s="19">
        <f t="shared" si="0"/>
        <v>56400</v>
      </c>
      <c r="D107" s="6" t="s">
        <v>572</v>
      </c>
    </row>
    <row r="109" spans="1:4" x14ac:dyDescent="0.2">
      <c r="A109" s="7" t="s">
        <v>573</v>
      </c>
      <c r="B109" s="20">
        <f>SUM(B102:B107)</f>
        <v>190000</v>
      </c>
      <c r="C109" s="20">
        <f>B109*$B$15</f>
        <v>267900</v>
      </c>
      <c r="D109" s="6" t="s">
        <v>574</v>
      </c>
    </row>
    <row r="110" spans="1:4" x14ac:dyDescent="0.2">
      <c r="D110" s="6" t="s">
        <v>575</v>
      </c>
    </row>
    <row r="111" spans="1:4" x14ac:dyDescent="0.2">
      <c r="A111" s="38" t="s">
        <v>576</v>
      </c>
      <c r="B111" s="2"/>
      <c r="C111" s="2"/>
    </row>
    <row r="112" spans="1:4" x14ac:dyDescent="0.2">
      <c r="A112" s="128" t="s">
        <v>539</v>
      </c>
      <c r="B112" s="129" t="s">
        <v>560</v>
      </c>
      <c r="C112" s="128" t="s">
        <v>158</v>
      </c>
    </row>
    <row r="113" spans="1:3" x14ac:dyDescent="0.2">
      <c r="A113" s="6" t="s">
        <v>577</v>
      </c>
      <c r="B113" s="19">
        <f>B91+B94</f>
        <v>125000</v>
      </c>
      <c r="C113" s="6" t="s">
        <v>578</v>
      </c>
    </row>
    <row r="114" spans="1:3" x14ac:dyDescent="0.2">
      <c r="A114" s="6" t="s">
        <v>579</v>
      </c>
      <c r="B114" s="19">
        <f>B113*0.3</f>
        <v>37500</v>
      </c>
      <c r="C114" s="6" t="s">
        <v>580</v>
      </c>
    </row>
    <row r="115" spans="1:3" x14ac:dyDescent="0.2">
      <c r="A115" s="7" t="s">
        <v>581</v>
      </c>
      <c r="B115" s="20">
        <f>B113+B114</f>
        <v>162500</v>
      </c>
      <c r="C115" s="6" t="s">
        <v>582</v>
      </c>
    </row>
    <row r="116" spans="1:3" x14ac:dyDescent="0.2">
      <c r="A116" s="7" t="s">
        <v>583</v>
      </c>
      <c r="B116" s="12" t="s">
        <v>584</v>
      </c>
      <c r="C116" s="6" t="s">
        <v>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I60"/>
  <sheetViews>
    <sheetView topLeftCell="A43" zoomScale="125" workbookViewId="0">
      <selection activeCell="B9" sqref="B9"/>
    </sheetView>
  </sheetViews>
  <sheetFormatPr baseColWidth="10" defaultRowHeight="16" x14ac:dyDescent="0.2"/>
  <cols>
    <col min="1" max="1" width="46.6640625" customWidth="1"/>
    <col min="2" max="4" width="26.6640625" customWidth="1"/>
    <col min="5" max="5" width="50" customWidth="1"/>
    <col min="6" max="6" width="46.6640625" customWidth="1"/>
    <col min="7" max="7" width="21.6640625" customWidth="1"/>
  </cols>
  <sheetData>
    <row r="1" spans="1:9" ht="19" customHeight="1" x14ac:dyDescent="0.25">
      <c r="A1" s="37" t="s">
        <v>586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38" t="s">
        <v>587</v>
      </c>
      <c r="B2" s="2"/>
      <c r="C2" s="2"/>
      <c r="D2" s="2"/>
      <c r="E2" s="2"/>
      <c r="F2" s="2"/>
      <c r="G2" s="2"/>
      <c r="H2" s="2"/>
      <c r="I2" s="2"/>
    </row>
    <row r="4" spans="1:9" x14ac:dyDescent="0.2">
      <c r="A4" s="38" t="s">
        <v>588</v>
      </c>
      <c r="B4" s="2"/>
      <c r="C4" s="2"/>
      <c r="D4" s="2"/>
      <c r="E4" s="2"/>
      <c r="F4" s="2"/>
    </row>
    <row r="5" spans="1:9" x14ac:dyDescent="0.2">
      <c r="A5" s="8" t="s">
        <v>589</v>
      </c>
      <c r="B5" s="9" t="s">
        <v>590</v>
      </c>
      <c r="C5" s="9" t="s">
        <v>591</v>
      </c>
      <c r="D5" s="9" t="s">
        <v>592</v>
      </c>
      <c r="E5" s="9" t="s">
        <v>158</v>
      </c>
    </row>
    <row r="6" spans="1:9" x14ac:dyDescent="0.2">
      <c r="A6" s="6" t="s">
        <v>593</v>
      </c>
      <c r="B6" s="137">
        <f>Assumptions!B47</f>
        <v>20</v>
      </c>
      <c r="C6" s="137">
        <f>Assumptions!B48</f>
        <v>35</v>
      </c>
      <c r="D6" s="137">
        <f>Assumptions!B49</f>
        <v>55</v>
      </c>
      <c r="E6" s="6" t="s">
        <v>594</v>
      </c>
    </row>
    <row r="7" spans="1:9" x14ac:dyDescent="0.2">
      <c r="A7" s="6" t="s">
        <v>595</v>
      </c>
      <c r="B7" s="137">
        <f>Assumptions!C47</f>
        <v>28.2</v>
      </c>
      <c r="C7" s="137">
        <f>Assumptions!C48</f>
        <v>49.349999999999994</v>
      </c>
      <c r="D7" s="137">
        <f>Assumptions!C49</f>
        <v>77.55</v>
      </c>
      <c r="E7" s="6" t="s">
        <v>596</v>
      </c>
    </row>
    <row r="8" spans="1:9" x14ac:dyDescent="0.2">
      <c r="A8" s="6" t="s">
        <v>597</v>
      </c>
      <c r="B8" s="14" t="s">
        <v>598</v>
      </c>
      <c r="C8" s="14" t="s">
        <v>599</v>
      </c>
      <c r="D8" s="14" t="s">
        <v>600</v>
      </c>
      <c r="E8" s="14" t="s">
        <v>601</v>
      </c>
    </row>
    <row r="9" spans="1:9" x14ac:dyDescent="0.2">
      <c r="A9" s="6" t="s">
        <v>602</v>
      </c>
      <c r="B9" s="138">
        <f>Assumptions!D47</f>
        <v>0.45</v>
      </c>
      <c r="C9" s="138">
        <f>Assumptions!D48</f>
        <v>0.35</v>
      </c>
      <c r="D9" s="138">
        <f>Assumptions!D49</f>
        <v>0.2</v>
      </c>
      <c r="E9" s="6" t="s">
        <v>603</v>
      </c>
    </row>
    <row r="10" spans="1:9" x14ac:dyDescent="0.2">
      <c r="A10" s="6" t="s">
        <v>456</v>
      </c>
      <c r="B10" s="137">
        <f>Assumptions!E47</f>
        <v>8</v>
      </c>
      <c r="C10" s="137">
        <f>Assumptions!E48</f>
        <v>9</v>
      </c>
      <c r="D10" s="137">
        <f>Assumptions!E49</f>
        <v>12</v>
      </c>
      <c r="E10" s="6" t="s">
        <v>604</v>
      </c>
    </row>
    <row r="11" spans="1:9" x14ac:dyDescent="0.2">
      <c r="A11" s="6" t="s">
        <v>605</v>
      </c>
      <c r="B11" s="139">
        <f>Assumptions!F47</f>
        <v>492.96000000000004</v>
      </c>
      <c r="C11" s="139">
        <f>Assumptions!F48</f>
        <v>554.58000000000004</v>
      </c>
      <c r="D11" s="139">
        <f>Assumptions!F49</f>
        <v>739.44</v>
      </c>
      <c r="E11" s="6" t="s">
        <v>606</v>
      </c>
    </row>
    <row r="12" spans="1:9" x14ac:dyDescent="0.2">
      <c r="A12" s="6" t="s">
        <v>607</v>
      </c>
      <c r="B12" s="24">
        <f>B6/B11</f>
        <v>4.057124310288867E-2</v>
      </c>
      <c r="C12" s="24">
        <f>C6/C11</f>
        <v>6.311082260449348E-2</v>
      </c>
      <c r="D12" s="24">
        <f>D6/D11</f>
        <v>7.4380612355295889E-2</v>
      </c>
      <c r="E12" s="6" t="s">
        <v>608</v>
      </c>
    </row>
    <row r="14" spans="1:9" x14ac:dyDescent="0.2">
      <c r="A14" s="38" t="s">
        <v>609</v>
      </c>
      <c r="B14" s="2"/>
      <c r="C14" s="2"/>
      <c r="D14" s="2"/>
      <c r="E14" s="2"/>
    </row>
    <row r="15" spans="1:9" x14ac:dyDescent="0.2">
      <c r="A15" s="8" t="s">
        <v>95</v>
      </c>
      <c r="B15" s="9" t="s">
        <v>610</v>
      </c>
      <c r="C15" s="9" t="s">
        <v>611</v>
      </c>
      <c r="D15" s="9" t="s">
        <v>612</v>
      </c>
      <c r="E15" s="9" t="s">
        <v>613</v>
      </c>
    </row>
    <row r="16" spans="1:9" x14ac:dyDescent="0.2">
      <c r="A16" s="7" t="s">
        <v>459</v>
      </c>
      <c r="B16" s="14">
        <v>8</v>
      </c>
      <c r="C16" s="14" t="s">
        <v>614</v>
      </c>
      <c r="D16" s="14" t="s">
        <v>615</v>
      </c>
      <c r="E16" s="14" t="s">
        <v>616</v>
      </c>
    </row>
    <row r="17" spans="1:5" x14ac:dyDescent="0.2">
      <c r="A17" s="7" t="s">
        <v>461</v>
      </c>
      <c r="B17" s="14">
        <v>9</v>
      </c>
      <c r="C17" s="14" t="s">
        <v>617</v>
      </c>
      <c r="D17" s="14" t="s">
        <v>618</v>
      </c>
      <c r="E17" s="14" t="s">
        <v>619</v>
      </c>
    </row>
    <row r="18" spans="1:5" x14ac:dyDescent="0.2">
      <c r="A18" s="7" t="s">
        <v>463</v>
      </c>
      <c r="B18" s="14">
        <v>12</v>
      </c>
      <c r="C18" s="14" t="s">
        <v>620</v>
      </c>
      <c r="D18" s="14" t="s">
        <v>621</v>
      </c>
      <c r="E18" s="14" t="s">
        <v>622</v>
      </c>
    </row>
    <row r="20" spans="1:5" x14ac:dyDescent="0.2">
      <c r="A20" s="38" t="s">
        <v>623</v>
      </c>
      <c r="B20" s="2"/>
      <c r="C20" s="2"/>
      <c r="D20" s="2"/>
      <c r="E20" s="2"/>
    </row>
    <row r="21" spans="1:5" x14ac:dyDescent="0.2">
      <c r="A21" s="8" t="s">
        <v>624</v>
      </c>
      <c r="B21" s="9" t="s">
        <v>590</v>
      </c>
      <c r="C21" s="9" t="s">
        <v>591</v>
      </c>
      <c r="D21" s="9" t="s">
        <v>592</v>
      </c>
      <c r="E21" s="9" t="s">
        <v>625</v>
      </c>
    </row>
    <row r="22" spans="1:5" x14ac:dyDescent="0.2">
      <c r="A22" s="25" t="s">
        <v>626</v>
      </c>
    </row>
    <row r="23" spans="1:5" x14ac:dyDescent="0.2">
      <c r="A23" s="6" t="s">
        <v>627</v>
      </c>
      <c r="B23" s="14" t="s">
        <v>628</v>
      </c>
      <c r="C23" s="14" t="s">
        <v>628</v>
      </c>
      <c r="D23" s="14" t="s">
        <v>628</v>
      </c>
      <c r="E23" s="14" t="s">
        <v>629</v>
      </c>
    </row>
    <row r="24" spans="1:5" x14ac:dyDescent="0.2">
      <c r="A24" s="6" t="s">
        <v>630</v>
      </c>
      <c r="B24" s="14" t="s">
        <v>138</v>
      </c>
      <c r="C24" s="14" t="s">
        <v>628</v>
      </c>
      <c r="D24" s="14" t="s">
        <v>631</v>
      </c>
      <c r="E24" s="14" t="s">
        <v>632</v>
      </c>
    </row>
    <row r="25" spans="1:5" x14ac:dyDescent="0.2">
      <c r="A25" s="6" t="s">
        <v>633</v>
      </c>
      <c r="B25" s="14" t="s">
        <v>138</v>
      </c>
      <c r="C25" s="14" t="s">
        <v>138</v>
      </c>
      <c r="D25" s="14" t="s">
        <v>628</v>
      </c>
      <c r="E25" s="14" t="s">
        <v>634</v>
      </c>
    </row>
    <row r="26" spans="1:5" x14ac:dyDescent="0.2">
      <c r="A26" s="6" t="s">
        <v>635</v>
      </c>
      <c r="B26" s="14" t="s">
        <v>138</v>
      </c>
      <c r="C26" s="14" t="s">
        <v>138</v>
      </c>
      <c r="D26" s="14" t="s">
        <v>628</v>
      </c>
      <c r="E26" s="14" t="s">
        <v>636</v>
      </c>
    </row>
    <row r="27" spans="1:5" x14ac:dyDescent="0.2">
      <c r="A27" s="25" t="s">
        <v>637</v>
      </c>
    </row>
    <row r="28" spans="1:5" x14ac:dyDescent="0.2">
      <c r="A28" s="6" t="s">
        <v>638</v>
      </c>
      <c r="B28" s="14" t="s">
        <v>628</v>
      </c>
      <c r="C28" s="14" t="s">
        <v>628</v>
      </c>
      <c r="D28" s="14" t="s">
        <v>628</v>
      </c>
      <c r="E28" s="14" t="s">
        <v>639</v>
      </c>
    </row>
    <row r="29" spans="1:5" x14ac:dyDescent="0.2">
      <c r="A29" s="6" t="s">
        <v>640</v>
      </c>
      <c r="B29" s="14" t="s">
        <v>138</v>
      </c>
      <c r="C29" s="14" t="s">
        <v>628</v>
      </c>
      <c r="D29" s="14" t="s">
        <v>628</v>
      </c>
      <c r="E29" s="14" t="s">
        <v>641</v>
      </c>
    </row>
    <row r="30" spans="1:5" x14ac:dyDescent="0.2">
      <c r="A30" s="25" t="s">
        <v>642</v>
      </c>
    </row>
    <row r="31" spans="1:5" x14ac:dyDescent="0.2">
      <c r="A31" s="6" t="s">
        <v>643</v>
      </c>
      <c r="B31" s="14" t="s">
        <v>628</v>
      </c>
      <c r="C31" s="14" t="s">
        <v>628</v>
      </c>
      <c r="D31" s="14" t="s">
        <v>628</v>
      </c>
      <c r="E31" s="14" t="s">
        <v>644</v>
      </c>
    </row>
    <row r="32" spans="1:5" x14ac:dyDescent="0.2">
      <c r="A32" s="6" t="s">
        <v>645</v>
      </c>
      <c r="B32" s="14" t="s">
        <v>138</v>
      </c>
      <c r="C32" s="14" t="s">
        <v>628</v>
      </c>
      <c r="D32" s="14" t="s">
        <v>628</v>
      </c>
      <c r="E32" s="14" t="s">
        <v>646</v>
      </c>
    </row>
    <row r="33" spans="1:5" x14ac:dyDescent="0.2">
      <c r="A33" s="6" t="s">
        <v>647</v>
      </c>
      <c r="B33" s="14" t="s">
        <v>138</v>
      </c>
      <c r="C33" s="14" t="s">
        <v>138</v>
      </c>
      <c r="D33" s="14" t="s">
        <v>628</v>
      </c>
      <c r="E33" s="14" t="s">
        <v>648</v>
      </c>
    </row>
    <row r="34" spans="1:5" x14ac:dyDescent="0.2">
      <c r="A34" s="25" t="s">
        <v>649</v>
      </c>
    </row>
    <row r="35" spans="1:5" x14ac:dyDescent="0.2">
      <c r="A35" s="6" t="s">
        <v>650</v>
      </c>
      <c r="B35" s="14" t="s">
        <v>138</v>
      </c>
      <c r="C35" s="14" t="s">
        <v>138</v>
      </c>
      <c r="D35" s="14" t="s">
        <v>628</v>
      </c>
      <c r="E35" s="14" t="s">
        <v>651</v>
      </c>
    </row>
    <row r="36" spans="1:5" x14ac:dyDescent="0.2">
      <c r="A36" s="6" t="s">
        <v>652</v>
      </c>
      <c r="B36" s="14" t="s">
        <v>138</v>
      </c>
      <c r="C36" s="14" t="s">
        <v>138</v>
      </c>
      <c r="D36" s="14" t="s">
        <v>628</v>
      </c>
      <c r="E36" s="14" t="s">
        <v>653</v>
      </c>
    </row>
    <row r="39" spans="1:5" x14ac:dyDescent="0.2">
      <c r="A39" s="38" t="s">
        <v>654</v>
      </c>
      <c r="B39" s="2"/>
      <c r="C39" s="2"/>
      <c r="D39" s="2"/>
      <c r="E39" s="2"/>
    </row>
    <row r="40" spans="1:5" x14ac:dyDescent="0.2">
      <c r="A40" s="8" t="s">
        <v>655</v>
      </c>
      <c r="B40" s="9" t="s">
        <v>656</v>
      </c>
      <c r="C40" s="9" t="s">
        <v>657</v>
      </c>
      <c r="D40" s="9" t="s">
        <v>658</v>
      </c>
      <c r="E40" s="9" t="s">
        <v>471</v>
      </c>
    </row>
    <row r="41" spans="1:5" x14ac:dyDescent="0.2">
      <c r="A41" s="6" t="s">
        <v>659</v>
      </c>
      <c r="B41" s="14" t="s">
        <v>660</v>
      </c>
      <c r="C41" s="14" t="s">
        <v>661</v>
      </c>
      <c r="D41" s="14" t="s">
        <v>662</v>
      </c>
      <c r="E41" s="14" t="s">
        <v>474</v>
      </c>
    </row>
    <row r="42" spans="1:5" x14ac:dyDescent="0.2">
      <c r="A42" s="6" t="s">
        <v>663</v>
      </c>
      <c r="B42" s="14" t="s">
        <v>664</v>
      </c>
      <c r="C42" s="14" t="s">
        <v>665</v>
      </c>
      <c r="D42" s="14" t="s">
        <v>666</v>
      </c>
      <c r="E42" s="14" t="s">
        <v>477</v>
      </c>
    </row>
    <row r="43" spans="1:5" x14ac:dyDescent="0.2">
      <c r="A43" s="6" t="s">
        <v>667</v>
      </c>
      <c r="B43" s="14" t="s">
        <v>668</v>
      </c>
      <c r="C43" s="14" t="s">
        <v>669</v>
      </c>
      <c r="D43" s="14" t="s">
        <v>662</v>
      </c>
      <c r="E43" s="14" t="s">
        <v>480</v>
      </c>
    </row>
    <row r="45" spans="1:5" x14ac:dyDescent="0.2">
      <c r="A45" s="7" t="s">
        <v>670</v>
      </c>
    </row>
    <row r="46" spans="1:5" x14ac:dyDescent="0.2">
      <c r="A46" s="6" t="s">
        <v>671</v>
      </c>
    </row>
    <row r="47" spans="1:5" x14ac:dyDescent="0.2">
      <c r="A47" s="6" t="s">
        <v>672</v>
      </c>
    </row>
    <row r="48" spans="1:5" x14ac:dyDescent="0.2">
      <c r="A48" s="6" t="s">
        <v>673</v>
      </c>
    </row>
    <row r="49" spans="1:5" x14ac:dyDescent="0.2">
      <c r="A49" s="6" t="s">
        <v>674</v>
      </c>
    </row>
    <row r="50" spans="1:5" x14ac:dyDescent="0.2">
      <c r="A50" s="6" t="s">
        <v>675</v>
      </c>
    </row>
    <row r="52" spans="1:5" x14ac:dyDescent="0.2">
      <c r="A52" s="38" t="s">
        <v>676</v>
      </c>
      <c r="B52" s="2"/>
      <c r="C52" s="2"/>
      <c r="D52" s="2"/>
      <c r="E52" s="2"/>
    </row>
    <row r="53" spans="1:5" x14ac:dyDescent="0.2">
      <c r="A53" s="8" t="s">
        <v>154</v>
      </c>
      <c r="B53" s="9" t="s">
        <v>677</v>
      </c>
      <c r="C53" s="9" t="s">
        <v>678</v>
      </c>
      <c r="D53" s="9" t="s">
        <v>679</v>
      </c>
    </row>
    <row r="54" spans="1:5" x14ac:dyDescent="0.2">
      <c r="A54" s="6" t="s">
        <v>680</v>
      </c>
      <c r="B54" s="14" t="s">
        <v>681</v>
      </c>
      <c r="C54" s="14" t="s">
        <v>682</v>
      </c>
      <c r="D54" s="14" t="s">
        <v>683</v>
      </c>
    </row>
    <row r="55" spans="1:5" x14ac:dyDescent="0.2">
      <c r="A55" s="6" t="s">
        <v>684</v>
      </c>
      <c r="B55" s="132">
        <v>0.7</v>
      </c>
      <c r="C55" s="140">
        <v>1</v>
      </c>
      <c r="D55" s="31" t="s">
        <v>685</v>
      </c>
    </row>
    <row r="56" spans="1:5" x14ac:dyDescent="0.2">
      <c r="A56" s="6" t="s">
        <v>686</v>
      </c>
      <c r="B56" s="141">
        <f>585*0.3</f>
        <v>175.5</v>
      </c>
      <c r="C56" s="142">
        <f>Assumptions!B50</f>
        <v>32.25</v>
      </c>
      <c r="D56" s="143">
        <f>B56-C56</f>
        <v>143.25</v>
      </c>
    </row>
    <row r="57" spans="1:5" x14ac:dyDescent="0.2">
      <c r="A57" s="6" t="s">
        <v>687</v>
      </c>
      <c r="B57" s="14" t="s">
        <v>105</v>
      </c>
      <c r="C57" s="16" t="s">
        <v>688</v>
      </c>
      <c r="D57" s="137" t="s">
        <v>689</v>
      </c>
    </row>
    <row r="58" spans="1:5" x14ac:dyDescent="0.2">
      <c r="A58" s="6" t="s">
        <v>690</v>
      </c>
      <c r="B58" s="14" t="s">
        <v>105</v>
      </c>
      <c r="C58" s="16" t="s">
        <v>691</v>
      </c>
      <c r="D58" s="137" t="s">
        <v>692</v>
      </c>
    </row>
    <row r="59" spans="1:5" x14ac:dyDescent="0.2">
      <c r="A59" s="6" t="s">
        <v>693</v>
      </c>
      <c r="B59" s="14" t="s">
        <v>694</v>
      </c>
      <c r="C59" s="16" t="s">
        <v>695</v>
      </c>
      <c r="D59" s="137" t="s">
        <v>696</v>
      </c>
    </row>
    <row r="60" spans="1:5" x14ac:dyDescent="0.2">
      <c r="A60" s="6" t="s">
        <v>697</v>
      </c>
      <c r="B60" s="14" t="s">
        <v>103</v>
      </c>
      <c r="C60" s="16" t="s">
        <v>698</v>
      </c>
      <c r="D60" s="137" t="s">
        <v>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O56"/>
  <sheetViews>
    <sheetView zoomScale="95" workbookViewId="0">
      <selection activeCell="E15" sqref="E15"/>
    </sheetView>
  </sheetViews>
  <sheetFormatPr baseColWidth="10" defaultRowHeight="16" x14ac:dyDescent="0.2"/>
  <cols>
    <col min="1" max="1" width="40" customWidth="1"/>
    <col min="2" max="14" width="15" customWidth="1"/>
    <col min="15" max="15" width="18.33203125" customWidth="1"/>
  </cols>
  <sheetData>
    <row r="1" spans="1:15" ht="19" customHeight="1" x14ac:dyDescent="0.25">
      <c r="A1" s="37" t="s">
        <v>700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38" t="s">
        <v>701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x14ac:dyDescent="0.2">
      <c r="A4" s="8" t="s">
        <v>43</v>
      </c>
      <c r="B4" s="9" t="s">
        <v>176</v>
      </c>
      <c r="C4" s="9" t="s">
        <v>374</v>
      </c>
      <c r="D4" s="9" t="s">
        <v>702</v>
      </c>
      <c r="E4" s="9" t="s">
        <v>703</v>
      </c>
      <c r="F4" s="9" t="s">
        <v>704</v>
      </c>
      <c r="G4" s="9" t="s">
        <v>705</v>
      </c>
      <c r="H4" s="9" t="s">
        <v>155</v>
      </c>
      <c r="I4" s="9" t="s">
        <v>706</v>
      </c>
      <c r="J4" s="9" t="s">
        <v>707</v>
      </c>
      <c r="K4" s="9" t="s">
        <v>156</v>
      </c>
      <c r="L4" s="9" t="s">
        <v>708</v>
      </c>
      <c r="M4" s="9" t="s">
        <v>709</v>
      </c>
      <c r="N4" s="9" t="s">
        <v>157</v>
      </c>
      <c r="O4" s="9" t="s">
        <v>710</v>
      </c>
    </row>
    <row r="5" spans="1:15" x14ac:dyDescent="0.2">
      <c r="A5" s="25" t="s">
        <v>711</v>
      </c>
    </row>
    <row r="6" spans="1:15" x14ac:dyDescent="0.2">
      <c r="A6" s="6" t="s">
        <v>712</v>
      </c>
      <c r="B6" s="144" t="s">
        <v>713</v>
      </c>
      <c r="C6" s="19">
        <f>Assumptions!B28</f>
        <v>250</v>
      </c>
      <c r="D6" s="19">
        <f>ROUND(C11*Assumptions!$B$29,0)</f>
        <v>70</v>
      </c>
      <c r="E6" s="19">
        <f>ROUND(D11*Assumptions!$B$29,0)</f>
        <v>72</v>
      </c>
      <c r="F6" s="19">
        <f>ROUND(E11*Assumptions!$B$29,0)</f>
        <v>81</v>
      </c>
      <c r="G6" s="19">
        <f>ROUND(F11*Assumptions!$B$29,0)</f>
        <v>95</v>
      </c>
      <c r="H6" s="19">
        <f>ROUND(G11*Assumptions!$B$29,0)</f>
        <v>112</v>
      </c>
      <c r="I6" s="19">
        <f>ROUND(H11*Assumptions!$B$29,0)</f>
        <v>132</v>
      </c>
      <c r="J6" s="19">
        <f>ROUND(I11*Assumptions!$B$29,0)</f>
        <v>155</v>
      </c>
      <c r="K6" s="19">
        <f>ROUND(J11*Assumptions!$B$29,0)</f>
        <v>183</v>
      </c>
      <c r="L6" s="19">
        <f>ROUND(K11*Assumptions!$B$29,0)</f>
        <v>215</v>
      </c>
      <c r="M6" s="19">
        <f>ROUND(L11*Assumptions!$B$29,0)</f>
        <v>253</v>
      </c>
      <c r="N6" s="19">
        <f>ROUND(M11*Assumptions!$B$29,0)</f>
        <v>298</v>
      </c>
      <c r="O6" s="136">
        <f>SUM(C6:N6)</f>
        <v>1916</v>
      </c>
    </row>
    <row r="7" spans="1:15" x14ac:dyDescent="0.2">
      <c r="A7" s="6" t="s">
        <v>714</v>
      </c>
      <c r="B7" s="144" t="s">
        <v>715</v>
      </c>
      <c r="C7" s="19">
        <f t="shared" ref="C7:N7" si="0">C6</f>
        <v>250</v>
      </c>
      <c r="D7" s="19">
        <f t="shared" si="0"/>
        <v>70</v>
      </c>
      <c r="E7" s="19">
        <f t="shared" si="0"/>
        <v>72</v>
      </c>
      <c r="F7" s="19">
        <f t="shared" si="0"/>
        <v>81</v>
      </c>
      <c r="G7" s="19">
        <f t="shared" si="0"/>
        <v>95</v>
      </c>
      <c r="H7" s="19">
        <f t="shared" si="0"/>
        <v>112</v>
      </c>
      <c r="I7" s="19">
        <f t="shared" si="0"/>
        <v>132</v>
      </c>
      <c r="J7" s="19">
        <f t="shared" si="0"/>
        <v>155</v>
      </c>
      <c r="K7" s="19">
        <f t="shared" si="0"/>
        <v>183</v>
      </c>
      <c r="L7" s="19">
        <f t="shared" si="0"/>
        <v>215</v>
      </c>
      <c r="M7" s="19">
        <f t="shared" si="0"/>
        <v>253</v>
      </c>
      <c r="N7" s="19">
        <f t="shared" si="0"/>
        <v>298</v>
      </c>
      <c r="O7" s="136">
        <f>N7</f>
        <v>298</v>
      </c>
    </row>
    <row r="8" spans="1:15" x14ac:dyDescent="0.2">
      <c r="A8" s="6" t="s">
        <v>716</v>
      </c>
      <c r="B8" s="144" t="s">
        <v>715</v>
      </c>
      <c r="C8" s="19">
        <v>0</v>
      </c>
      <c r="D8" s="19">
        <f>ROUND(C7*(1-Assumptions!$B$40),0)</f>
        <v>188</v>
      </c>
      <c r="E8" s="19">
        <f>ROUND(D7*(1-Assumptions!$B$40),0)</f>
        <v>53</v>
      </c>
      <c r="F8" s="19">
        <f>ROUND(E7*(1-Assumptions!$B$40),0)</f>
        <v>54</v>
      </c>
      <c r="G8" s="19">
        <f>ROUND(F7*(1-Assumptions!$B$40),0)</f>
        <v>61</v>
      </c>
      <c r="H8" s="19">
        <f>ROUND(G7*(1-Assumptions!$B$40),0)</f>
        <v>71</v>
      </c>
      <c r="I8" s="19">
        <f>ROUND(H7*(1-Assumptions!$B$40),0)</f>
        <v>84</v>
      </c>
      <c r="J8" s="19">
        <f>ROUND(I7*(1-Assumptions!$B$40),0)</f>
        <v>99</v>
      </c>
      <c r="K8" s="19">
        <f>ROUND(J7*(1-Assumptions!$B$40),0)</f>
        <v>116</v>
      </c>
      <c r="L8" s="19">
        <f>ROUND(K7*(1-Assumptions!$B$40),0)</f>
        <v>137</v>
      </c>
      <c r="M8" s="19">
        <f>ROUND(L7*(1-Assumptions!$B$40),0)</f>
        <v>161</v>
      </c>
      <c r="N8" s="19">
        <f>ROUND(M7*(1-Assumptions!$B$40),0)</f>
        <v>190</v>
      </c>
      <c r="O8" s="136">
        <f>N8</f>
        <v>190</v>
      </c>
    </row>
    <row r="9" spans="1:15" x14ac:dyDescent="0.2">
      <c r="A9" s="6" t="s">
        <v>717</v>
      </c>
      <c r="B9" s="144" t="s">
        <v>715</v>
      </c>
      <c r="C9" s="19">
        <v>0</v>
      </c>
      <c r="D9" s="19">
        <f>ROUND(C8*(1-Assumptions!$B$41),0)+ROUND(C9*(1-Assumptions!$B$42),0)</f>
        <v>0</v>
      </c>
      <c r="E9" s="19">
        <f>ROUND(D8*(1-Assumptions!$B$41),0)+ROUND(D9*(1-Assumptions!$B$42),0)</f>
        <v>165</v>
      </c>
      <c r="F9" s="19">
        <f>ROUND(E8*(1-Assumptions!$B$41),0)+ROUND(E9*(1-Assumptions!$B$42),0)</f>
        <v>205</v>
      </c>
      <c r="G9" s="19">
        <f>ROUND(F8*(1-Assumptions!$B$41),0)+ROUND(F9*(1-Assumptions!$B$42),0)</f>
        <v>245</v>
      </c>
      <c r="H9" s="19">
        <f>ROUND(G8*(1-Assumptions!$B$41),0)+ROUND(G9*(1-Assumptions!$B$42),0)</f>
        <v>289</v>
      </c>
      <c r="I9" s="19">
        <f>ROUND(H8*(1-Assumptions!$B$41),0)+ROUND(H9*(1-Assumptions!$B$42),0)</f>
        <v>339</v>
      </c>
      <c r="J9" s="19">
        <f>ROUND(I8*(1-Assumptions!$B$41),0)+ROUND(I9*(1-Assumptions!$B$42),0)</f>
        <v>399</v>
      </c>
      <c r="K9" s="19">
        <f>ROUND(J8*(1-Assumptions!$B$41),0)+ROUND(J9*(1-Assumptions!$B$42),0)</f>
        <v>470</v>
      </c>
      <c r="L9" s="19">
        <f>ROUND(K8*(1-Assumptions!$B$41),0)+ROUND(K9*(1-Assumptions!$B$42),0)</f>
        <v>553</v>
      </c>
      <c r="M9" s="19">
        <f>ROUND(L8*(1-Assumptions!$B$41),0)+ROUND(L9*(1-Assumptions!$B$42),0)</f>
        <v>652</v>
      </c>
      <c r="N9" s="19">
        <f>ROUND(M8*(1-Assumptions!$B$41),0)+ROUND(M9*(1-Assumptions!$B$42),0)</f>
        <v>768</v>
      </c>
      <c r="O9" s="136">
        <f>N9</f>
        <v>768</v>
      </c>
    </row>
    <row r="10" spans="1:15" x14ac:dyDescent="0.2">
      <c r="A10" s="32" t="s">
        <v>718</v>
      </c>
      <c r="B10" s="144" t="s">
        <v>713</v>
      </c>
      <c r="C10" s="146">
        <v>0</v>
      </c>
      <c r="D10" s="146">
        <f>ROUND(C7*Assumptions!$B$40,0)+ROUND(C8*Assumptions!$B$41,0)+ROUND(C9*Assumptions!$B$42,0)</f>
        <v>63</v>
      </c>
      <c r="E10" s="146">
        <f>ROUND(D7*Assumptions!$B$40,0)+ROUND(D8*Assumptions!$B$41,0)+ROUND(D9*Assumptions!$B$42,0)</f>
        <v>41</v>
      </c>
      <c r="F10" s="146">
        <f>ROUND(E7*Assumptions!$B$40,0)+ROUND(E8*Assumptions!$B$41,0)+ROUND(E9*Assumptions!$B$42,0)</f>
        <v>31</v>
      </c>
      <c r="G10" s="146">
        <f>ROUND(F7*Assumptions!$B$40,0)+ROUND(F8*Assumptions!$B$41,0)+ROUND(F9*Assumptions!$B$42,0)</f>
        <v>34</v>
      </c>
      <c r="H10" s="146">
        <f>ROUND(G7*Assumptions!$B$40,0)+ROUND(G8*Assumptions!$B$41,0)+ROUND(G9*Assumptions!$B$42,0)</f>
        <v>41</v>
      </c>
      <c r="I10" s="146">
        <f>ROUND(H7*Assumptions!$B$40,0)+ROUND(H8*Assumptions!$B$41,0)+ROUND(H9*Assumptions!$B$42,0)</f>
        <v>49</v>
      </c>
      <c r="J10" s="146">
        <f>ROUND(I7*Assumptions!$B$40,0)+ROUND(I8*Assumptions!$B$41,0)+ROUND(I9*Assumptions!$B$42,0)</f>
        <v>57</v>
      </c>
      <c r="K10" s="146">
        <f>ROUND(J7*Assumptions!$B$40,0)+ROUND(J8*Assumptions!$B$41,0)+ROUND(J9*Assumptions!$B$42,0)</f>
        <v>67</v>
      </c>
      <c r="L10" s="146">
        <f>ROUND(K7*Assumptions!$B$40,0)+ROUND(K8*Assumptions!$B$41,0)+ROUND(K9*Assumptions!$B$42,0)</f>
        <v>79</v>
      </c>
      <c r="M10" s="146">
        <f>ROUND(L7*Assumptions!$B$40,0)+ROUND(L8*Assumptions!$B$41,0)+ROUND(L9*Assumptions!$B$42,0)</f>
        <v>92</v>
      </c>
      <c r="N10" s="146">
        <f>ROUND(M7*Assumptions!$B$40,0)+ROUND(M8*Assumptions!$B$41,0)+ROUND(M9*Assumptions!$B$42,0)</f>
        <v>108</v>
      </c>
      <c r="O10" s="147">
        <f>SUM(C10:N10)</f>
        <v>662</v>
      </c>
    </row>
    <row r="11" spans="1:15" x14ac:dyDescent="0.2">
      <c r="A11" s="7" t="s">
        <v>719</v>
      </c>
      <c r="B11" s="144" t="s">
        <v>720</v>
      </c>
      <c r="C11" s="136">
        <f t="shared" ref="C11:N11" si="1">C7+C8+C9</f>
        <v>250</v>
      </c>
      <c r="D11" s="136">
        <f t="shared" si="1"/>
        <v>258</v>
      </c>
      <c r="E11" s="136">
        <f t="shared" si="1"/>
        <v>290</v>
      </c>
      <c r="F11" s="136">
        <f t="shared" si="1"/>
        <v>340</v>
      </c>
      <c r="G11" s="136">
        <f t="shared" si="1"/>
        <v>401</v>
      </c>
      <c r="H11" s="136">
        <f t="shared" si="1"/>
        <v>472</v>
      </c>
      <c r="I11" s="136">
        <f t="shared" si="1"/>
        <v>555</v>
      </c>
      <c r="J11" s="136">
        <f t="shared" si="1"/>
        <v>653</v>
      </c>
      <c r="K11" s="136">
        <f t="shared" si="1"/>
        <v>769</v>
      </c>
      <c r="L11" s="136">
        <f t="shared" si="1"/>
        <v>905</v>
      </c>
      <c r="M11" s="136">
        <f t="shared" si="1"/>
        <v>1066</v>
      </c>
      <c r="N11" s="136">
        <f t="shared" si="1"/>
        <v>1256</v>
      </c>
      <c r="O11" s="136">
        <f>N11</f>
        <v>1256</v>
      </c>
    </row>
    <row r="12" spans="1:15" x14ac:dyDescent="0.2">
      <c r="A12" s="6" t="s">
        <v>721</v>
      </c>
      <c r="B12" s="144" t="s">
        <v>713</v>
      </c>
      <c r="C12" s="19">
        <f>C11*Assumptions!$B$9*Assumptions!$B$10</f>
        <v>58500</v>
      </c>
      <c r="D12" s="19">
        <f>D11*Assumptions!$B$9*Assumptions!$B$10</f>
        <v>60372</v>
      </c>
      <c r="E12" s="19">
        <f>E11*Assumptions!$B$9*Assumptions!$B$10</f>
        <v>67860</v>
      </c>
      <c r="F12" s="19">
        <f>F11*Assumptions!$B$9*Assumptions!$B$10</f>
        <v>79560</v>
      </c>
      <c r="G12" s="19">
        <f>G11*Assumptions!$B$9*Assumptions!$B$10</f>
        <v>93834</v>
      </c>
      <c r="H12" s="19">
        <f>H11*Assumptions!$B$9*Assumptions!$B$10</f>
        <v>110448</v>
      </c>
      <c r="I12" s="19">
        <f>I11*Assumptions!$B$9*Assumptions!$B$10</f>
        <v>129870</v>
      </c>
      <c r="J12" s="19">
        <f>J11*Assumptions!$B$9*Assumptions!$B$10</f>
        <v>152802</v>
      </c>
      <c r="K12" s="19">
        <f>K11*Assumptions!$B$9*Assumptions!$B$10</f>
        <v>179946</v>
      </c>
      <c r="L12" s="19">
        <f>L11*Assumptions!$B$9*Assumptions!$B$10</f>
        <v>211770</v>
      </c>
      <c r="M12" s="19">
        <f>M11*Assumptions!$B$9*Assumptions!$B$10</f>
        <v>249444</v>
      </c>
      <c r="N12" s="19">
        <f>N11*Assumptions!$B$9*Assumptions!$B$10</f>
        <v>293904</v>
      </c>
      <c r="O12" s="136">
        <f>SUM(C12:N12)</f>
        <v>1688310</v>
      </c>
    </row>
    <row r="13" spans="1:15" x14ac:dyDescent="0.2">
      <c r="A13" s="6" t="s">
        <v>722</v>
      </c>
      <c r="B13" s="144" t="s">
        <v>713</v>
      </c>
      <c r="C13" s="19">
        <f>C12*Assumptions!$B$8</f>
        <v>138645</v>
      </c>
      <c r="D13" s="19">
        <f>D12*Assumptions!$B$8</f>
        <v>143081.64000000001</v>
      </c>
      <c r="E13" s="19">
        <f>E12*Assumptions!$B$8</f>
        <v>160828.20000000001</v>
      </c>
      <c r="F13" s="19">
        <f>F12*Assumptions!$B$8</f>
        <v>188557.2</v>
      </c>
      <c r="G13" s="19">
        <f>G12*Assumptions!$B$8</f>
        <v>222386.58000000002</v>
      </c>
      <c r="H13" s="19">
        <f>H12*Assumptions!$B$8</f>
        <v>261761.76</v>
      </c>
      <c r="I13" s="19">
        <f>I12*Assumptions!$B$8</f>
        <v>307791.90000000002</v>
      </c>
      <c r="J13" s="19">
        <f>J12*Assumptions!$B$8</f>
        <v>362140.74</v>
      </c>
      <c r="K13" s="19">
        <f>K12*Assumptions!$B$8</f>
        <v>426472.02</v>
      </c>
      <c r="L13" s="19">
        <f>L12*Assumptions!$B$8</f>
        <v>501894.9</v>
      </c>
      <c r="M13" s="19">
        <f>M12*Assumptions!$B$8</f>
        <v>591182.28</v>
      </c>
      <c r="N13" s="19">
        <f>N12*Assumptions!$B$8</f>
        <v>696552.48</v>
      </c>
      <c r="O13" s="136">
        <f>SUM(C13:N13)</f>
        <v>4001294.6999999997</v>
      </c>
    </row>
    <row r="15" spans="1:15" x14ac:dyDescent="0.2">
      <c r="A15" s="25" t="s">
        <v>723</v>
      </c>
    </row>
    <row r="16" spans="1:15" x14ac:dyDescent="0.2">
      <c r="A16" s="6" t="s">
        <v>724</v>
      </c>
      <c r="B16" s="144" t="s">
        <v>713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36">
        <f t="shared" ref="O16:O21" si="2">SUM(C16:N16)</f>
        <v>0</v>
      </c>
    </row>
    <row r="17" spans="1:15" x14ac:dyDescent="0.2">
      <c r="A17" s="6" t="s">
        <v>725</v>
      </c>
      <c r="B17" s="144" t="s">
        <v>713</v>
      </c>
      <c r="C17" s="19">
        <f>C8*Assumptions!$C$35</f>
        <v>0</v>
      </c>
      <c r="D17" s="19">
        <f>D8*Assumptions!$C$35</f>
        <v>1880</v>
      </c>
      <c r="E17" s="19">
        <f>E8*Assumptions!$C$35</f>
        <v>530</v>
      </c>
      <c r="F17" s="19">
        <f>F8*Assumptions!$C$35</f>
        <v>540</v>
      </c>
      <c r="G17" s="19">
        <f>G8*Assumptions!$C$35</f>
        <v>610</v>
      </c>
      <c r="H17" s="19">
        <f>H8*Assumptions!$C$35</f>
        <v>710</v>
      </c>
      <c r="I17" s="19">
        <f>I8*Assumptions!$C$35</f>
        <v>840</v>
      </c>
      <c r="J17" s="19">
        <f>J8*Assumptions!$C$35</f>
        <v>990</v>
      </c>
      <c r="K17" s="19">
        <f>K8*Assumptions!$C$35</f>
        <v>1160</v>
      </c>
      <c r="L17" s="19">
        <f>L8*Assumptions!$C$35</f>
        <v>1370</v>
      </c>
      <c r="M17" s="19">
        <f>M8*Assumptions!$C$35</f>
        <v>1610</v>
      </c>
      <c r="N17" s="19">
        <f>N8*Assumptions!$C$35</f>
        <v>1900</v>
      </c>
      <c r="O17" s="136">
        <f t="shared" si="2"/>
        <v>12140</v>
      </c>
    </row>
    <row r="18" spans="1:15" x14ac:dyDescent="0.2">
      <c r="A18" s="6" t="s">
        <v>726</v>
      </c>
      <c r="B18" s="144" t="s">
        <v>713</v>
      </c>
      <c r="C18" s="19">
        <f>C9*Assumptions!$D$47*Assumptions!$B$47</f>
        <v>0</v>
      </c>
      <c r="D18" s="19">
        <f>D9*Assumptions!$D$47*Assumptions!$B$47</f>
        <v>0</v>
      </c>
      <c r="E18" s="19">
        <f>E9*Assumptions!$D$47*Assumptions!$B$47</f>
        <v>1485</v>
      </c>
      <c r="F18" s="19">
        <f>F9*Assumptions!$D$47*Assumptions!$B$47</f>
        <v>1845</v>
      </c>
      <c r="G18" s="19">
        <f>G9*Assumptions!$D$47*Assumptions!$B$47</f>
        <v>2205</v>
      </c>
      <c r="H18" s="19">
        <f>H9*Assumptions!$D$47*Assumptions!$B$47</f>
        <v>2601</v>
      </c>
      <c r="I18" s="19">
        <f>I9*Assumptions!$D$47*Assumptions!$B$47</f>
        <v>3051</v>
      </c>
      <c r="J18" s="19">
        <f>J9*Assumptions!$D$47*Assumptions!$B$47</f>
        <v>3591</v>
      </c>
      <c r="K18" s="19">
        <f>K9*Assumptions!$D$47*Assumptions!$B$47</f>
        <v>4230</v>
      </c>
      <c r="L18" s="19">
        <f>L9*Assumptions!$D$47*Assumptions!$B$47</f>
        <v>4977</v>
      </c>
      <c r="M18" s="19">
        <f>M9*Assumptions!$D$47*Assumptions!$B$47</f>
        <v>5868.0000000000009</v>
      </c>
      <c r="N18" s="19">
        <f>N9*Assumptions!$D$47*Assumptions!$B$47</f>
        <v>6912</v>
      </c>
      <c r="O18" s="136">
        <f t="shared" si="2"/>
        <v>36765</v>
      </c>
    </row>
    <row r="19" spans="1:15" x14ac:dyDescent="0.2">
      <c r="A19" s="6" t="s">
        <v>727</v>
      </c>
      <c r="B19" s="144" t="s">
        <v>713</v>
      </c>
      <c r="C19" s="19">
        <f>C9*Assumptions!$D$48*Assumptions!$B$48</f>
        <v>0</v>
      </c>
      <c r="D19" s="19">
        <f>D9*Assumptions!$D$48*Assumptions!$B$48</f>
        <v>0</v>
      </c>
      <c r="E19" s="19">
        <f>E9*Assumptions!$D$48*Assumptions!$B$48</f>
        <v>2021.2499999999998</v>
      </c>
      <c r="F19" s="19">
        <f>F9*Assumptions!$D$48*Assumptions!$B$48</f>
        <v>2511.25</v>
      </c>
      <c r="G19" s="19">
        <f>G9*Assumptions!$D$48*Assumptions!$B$48</f>
        <v>3001.25</v>
      </c>
      <c r="H19" s="19">
        <f>H9*Assumptions!$D$48*Assumptions!$B$48</f>
        <v>3540.2499999999995</v>
      </c>
      <c r="I19" s="19">
        <f>I9*Assumptions!$D$48*Assumptions!$B$48</f>
        <v>4152.75</v>
      </c>
      <c r="J19" s="19">
        <f>J9*Assumptions!$D$48*Assumptions!$B$48</f>
        <v>4887.7499999999991</v>
      </c>
      <c r="K19" s="19">
        <f>K9*Assumptions!$D$48*Assumptions!$B$48</f>
        <v>5757.5</v>
      </c>
      <c r="L19" s="19">
        <f>L9*Assumptions!$D$48*Assumptions!$B$48</f>
        <v>6774.2499999999991</v>
      </c>
      <c r="M19" s="19">
        <f>M9*Assumptions!$D$48*Assumptions!$B$48</f>
        <v>7987</v>
      </c>
      <c r="N19" s="19">
        <f>N9*Assumptions!$D$48*Assumptions!$B$48</f>
        <v>9407.9999999999982</v>
      </c>
      <c r="O19" s="136">
        <f t="shared" si="2"/>
        <v>50041.25</v>
      </c>
    </row>
    <row r="20" spans="1:15" x14ac:dyDescent="0.2">
      <c r="A20" s="6" t="s">
        <v>728</v>
      </c>
      <c r="B20" s="144" t="s">
        <v>713</v>
      </c>
      <c r="C20" s="19">
        <f>C9*Assumptions!$D$49*Assumptions!$B$49</f>
        <v>0</v>
      </c>
      <c r="D20" s="19">
        <f>D9*Assumptions!$D$49*Assumptions!$B$49</f>
        <v>0</v>
      </c>
      <c r="E20" s="19">
        <f>E9*Assumptions!$D$49*Assumptions!$B$49</f>
        <v>1815</v>
      </c>
      <c r="F20" s="19">
        <f>F9*Assumptions!$D$49*Assumptions!$B$49</f>
        <v>2255</v>
      </c>
      <c r="G20" s="19">
        <f>G9*Assumptions!$D$49*Assumptions!$B$49</f>
        <v>2695</v>
      </c>
      <c r="H20" s="19">
        <f>H9*Assumptions!$D$49*Assumptions!$B$49</f>
        <v>3179.0000000000005</v>
      </c>
      <c r="I20" s="19">
        <f>I9*Assumptions!$D$49*Assumptions!$B$49</f>
        <v>3729</v>
      </c>
      <c r="J20" s="19">
        <f>J9*Assumptions!$D$49*Assumptions!$B$49</f>
        <v>4389.0000000000009</v>
      </c>
      <c r="K20" s="19">
        <f>K9*Assumptions!$D$49*Assumptions!$B$49</f>
        <v>5170</v>
      </c>
      <c r="L20" s="19">
        <f>L9*Assumptions!$D$49*Assumptions!$B$49</f>
        <v>6083.0000000000009</v>
      </c>
      <c r="M20" s="19">
        <f>M9*Assumptions!$D$49*Assumptions!$B$49</f>
        <v>7172</v>
      </c>
      <c r="N20" s="19">
        <f>N9*Assumptions!$D$49*Assumptions!$B$49</f>
        <v>8448.0000000000018</v>
      </c>
      <c r="O20" s="136">
        <f t="shared" si="2"/>
        <v>44935</v>
      </c>
    </row>
    <row r="21" spans="1:15" x14ac:dyDescent="0.2">
      <c r="A21" s="7" t="s">
        <v>729</v>
      </c>
      <c r="B21" s="144" t="s">
        <v>720</v>
      </c>
      <c r="C21" s="136">
        <f t="shared" ref="C21:N21" si="3">SUM(C16:C20)</f>
        <v>0</v>
      </c>
      <c r="D21" s="136">
        <f t="shared" si="3"/>
        <v>1880</v>
      </c>
      <c r="E21" s="136">
        <f t="shared" si="3"/>
        <v>5851.25</v>
      </c>
      <c r="F21" s="136">
        <f t="shared" si="3"/>
        <v>7151.25</v>
      </c>
      <c r="G21" s="136">
        <f t="shared" si="3"/>
        <v>8511.25</v>
      </c>
      <c r="H21" s="136">
        <f t="shared" si="3"/>
        <v>10030.25</v>
      </c>
      <c r="I21" s="136">
        <f t="shared" si="3"/>
        <v>11772.75</v>
      </c>
      <c r="J21" s="136">
        <f t="shared" si="3"/>
        <v>13857.75</v>
      </c>
      <c r="K21" s="136">
        <f t="shared" si="3"/>
        <v>16317.5</v>
      </c>
      <c r="L21" s="136">
        <f t="shared" si="3"/>
        <v>19204.25</v>
      </c>
      <c r="M21" s="136">
        <f t="shared" si="3"/>
        <v>22637</v>
      </c>
      <c r="N21" s="136">
        <f t="shared" si="3"/>
        <v>26668</v>
      </c>
      <c r="O21" s="136">
        <f t="shared" si="2"/>
        <v>143881.25</v>
      </c>
    </row>
    <row r="23" spans="1:15" x14ac:dyDescent="0.2">
      <c r="A23" s="7" t="s">
        <v>730</v>
      </c>
      <c r="B23" s="144" t="s">
        <v>720</v>
      </c>
      <c r="C23" s="20">
        <f t="shared" ref="C23:N23" si="4">C21</f>
        <v>0</v>
      </c>
      <c r="D23" s="20">
        <f t="shared" si="4"/>
        <v>1880</v>
      </c>
      <c r="E23" s="20">
        <f t="shared" si="4"/>
        <v>5851.25</v>
      </c>
      <c r="F23" s="20">
        <f t="shared" si="4"/>
        <v>7151.25</v>
      </c>
      <c r="G23" s="20">
        <f t="shared" si="4"/>
        <v>8511.25</v>
      </c>
      <c r="H23" s="20">
        <f t="shared" si="4"/>
        <v>10030.25</v>
      </c>
      <c r="I23" s="20">
        <f t="shared" si="4"/>
        <v>11772.75</v>
      </c>
      <c r="J23" s="20">
        <f t="shared" si="4"/>
        <v>13857.75</v>
      </c>
      <c r="K23" s="20">
        <f t="shared" si="4"/>
        <v>16317.5</v>
      </c>
      <c r="L23" s="20">
        <f t="shared" si="4"/>
        <v>19204.25</v>
      </c>
      <c r="M23" s="20">
        <f t="shared" si="4"/>
        <v>22637</v>
      </c>
      <c r="N23" s="20">
        <f t="shared" si="4"/>
        <v>26668</v>
      </c>
      <c r="O23" s="20">
        <f>SUM(C23:N23)</f>
        <v>143881.25</v>
      </c>
    </row>
    <row r="25" spans="1:15" x14ac:dyDescent="0.2">
      <c r="A25" s="25" t="s">
        <v>731</v>
      </c>
    </row>
    <row r="26" spans="1:15" x14ac:dyDescent="0.2">
      <c r="A26" s="6" t="s">
        <v>732</v>
      </c>
      <c r="B26" s="144" t="s">
        <v>713</v>
      </c>
      <c r="C26" s="141">
        <f>C23*Assumptions!$B$13*Assumptions!$B$14</f>
        <v>0</v>
      </c>
      <c r="D26" s="141">
        <f>D23*Assumptions!$B$13*Assumptions!$B$14</f>
        <v>19.739999999999998</v>
      </c>
      <c r="E26" s="141">
        <f>E23*Assumptions!$B$13*Assumptions!$B$14</f>
        <v>61.438124999999992</v>
      </c>
      <c r="F26" s="141">
        <f>F23*Assumptions!$B$13*Assumptions!$B$14</f>
        <v>75.088124999999991</v>
      </c>
      <c r="G26" s="141">
        <f>G23*Assumptions!$B$13*Assumptions!$B$14</f>
        <v>89.368124999999992</v>
      </c>
      <c r="H26" s="141">
        <f>H23*Assumptions!$B$13*Assumptions!$B$14</f>
        <v>105.31762499999998</v>
      </c>
      <c r="I26" s="141">
        <f>I23*Assumptions!$B$13*Assumptions!$B$14</f>
        <v>123.61387499999998</v>
      </c>
      <c r="J26" s="141">
        <f>J23*Assumptions!$B$13*Assumptions!$B$14</f>
        <v>145.50637499999999</v>
      </c>
      <c r="K26" s="141">
        <f>K23*Assumptions!$B$13*Assumptions!$B$14</f>
        <v>171.33374999999998</v>
      </c>
      <c r="L26" s="141">
        <f>L23*Assumptions!$B$13*Assumptions!$B$14</f>
        <v>201.64462499999996</v>
      </c>
      <c r="M26" s="141">
        <f>M23*Assumptions!$B$13*Assumptions!$B$14</f>
        <v>237.68849999999998</v>
      </c>
      <c r="N26" s="141">
        <f>N23*Assumptions!$B$13*Assumptions!$B$14</f>
        <v>280.01399999999995</v>
      </c>
      <c r="O26" s="136">
        <f t="shared" ref="O26:O32" si="5">SUM(C26:N26)</f>
        <v>1510.7531249999997</v>
      </c>
    </row>
    <row r="27" spans="1:15" x14ac:dyDescent="0.2">
      <c r="A27" s="6" t="s">
        <v>733</v>
      </c>
      <c r="B27" s="144" t="s">
        <v>713</v>
      </c>
      <c r="C27" s="141">
        <f>C11*Assumptions!$B$59</f>
        <v>2162.5</v>
      </c>
      <c r="D27" s="141">
        <f>D11*Assumptions!$B$59</f>
        <v>2231.7000000000003</v>
      </c>
      <c r="E27" s="141">
        <f>E11*Assumptions!$B$59</f>
        <v>2508.5</v>
      </c>
      <c r="F27" s="141">
        <f>F11*Assumptions!$B$59</f>
        <v>2941</v>
      </c>
      <c r="G27" s="141">
        <f>G11*Assumptions!$B$59</f>
        <v>3468.65</v>
      </c>
      <c r="H27" s="141">
        <f>H11*Assumptions!$B$59</f>
        <v>4082.8</v>
      </c>
      <c r="I27" s="141">
        <f>I11*Assumptions!$B$59</f>
        <v>4800.75</v>
      </c>
      <c r="J27" s="141">
        <f>J11*Assumptions!$B$59</f>
        <v>5648.45</v>
      </c>
      <c r="K27" s="141">
        <f>K11*Assumptions!$B$59</f>
        <v>6651.85</v>
      </c>
      <c r="L27" s="141">
        <f>L11*Assumptions!$B$59</f>
        <v>7828.25</v>
      </c>
      <c r="M27" s="141">
        <f>M11*Assumptions!$B$59</f>
        <v>9220.9</v>
      </c>
      <c r="N27" s="141">
        <f>N11*Assumptions!$B$59</f>
        <v>10864.4</v>
      </c>
      <c r="O27" s="136">
        <f t="shared" si="5"/>
        <v>62409.750000000007</v>
      </c>
    </row>
    <row r="28" spans="1:15" x14ac:dyDescent="0.2">
      <c r="A28" s="6" t="s">
        <v>734</v>
      </c>
      <c r="B28" s="144" t="s">
        <v>735</v>
      </c>
      <c r="C28" s="19">
        <f>Assumptions!$B$63*(C11/Assumptions!$B$28)^0.5</f>
        <v>800</v>
      </c>
      <c r="D28" s="19">
        <f>Assumptions!$B$63*(D11/Assumptions!$B$28)^0.5</f>
        <v>812.69920634881885</v>
      </c>
      <c r="E28" s="19">
        <f>Assumptions!$B$63*(E11/Assumptions!$B$28)^0.5</f>
        <v>861.62636914152063</v>
      </c>
      <c r="F28" s="19">
        <f>Assumptions!$B$63*(F11/Assumptions!$B$28)^0.5</f>
        <v>932.95230317524818</v>
      </c>
      <c r="G28" s="19">
        <f>Assumptions!$B$63*(G11/Assumptions!$B$28)^0.5</f>
        <v>1013.1929727352041</v>
      </c>
      <c r="H28" s="19">
        <f>Assumptions!$B$63*(H11/Assumptions!$B$28)^0.5</f>
        <v>1099.2360983883307</v>
      </c>
      <c r="I28" s="19">
        <f>Assumptions!$B$63*(I11/Assumptions!$B$28)^0.5</f>
        <v>1191.9731540601072</v>
      </c>
      <c r="J28" s="19">
        <f>Assumptions!$B$63*(J11/Assumptions!$B$28)^0.5</f>
        <v>1292.9346464535631</v>
      </c>
      <c r="K28" s="19">
        <f>Assumptions!$B$63*(K11/Assumptions!$B$28)^0.5</f>
        <v>1403.0823211772004</v>
      </c>
      <c r="L28" s="19">
        <f>Assumptions!$B$63*(L11/Assumptions!$B$28)^0.5</f>
        <v>1522.103807235236</v>
      </c>
      <c r="M28" s="19">
        <f>Assumptions!$B$63*(M11/Assumptions!$B$28)^0.5</f>
        <v>1651.9564158899591</v>
      </c>
      <c r="N28" s="19">
        <f>Assumptions!$B$63*(N11/Assumptions!$B$28)^0.5</f>
        <v>1793.142492943603</v>
      </c>
      <c r="O28" s="136">
        <f t="shared" si="5"/>
        <v>14374.899787548793</v>
      </c>
    </row>
    <row r="29" spans="1:15" x14ac:dyDescent="0.2">
      <c r="A29" s="6" t="s">
        <v>736</v>
      </c>
      <c r="B29" s="144" t="s">
        <v>493</v>
      </c>
      <c r="C29" s="19">
        <f>Assumptions!$B$64*(C11/Assumptions!$B$28)</f>
        <v>400</v>
      </c>
      <c r="D29" s="19">
        <f>Assumptions!$B$64*(D11/Assumptions!$B$28)</f>
        <v>412.8</v>
      </c>
      <c r="E29" s="19">
        <f>Assumptions!$B$64*(E11/Assumptions!$B$28)</f>
        <v>463.99999999999994</v>
      </c>
      <c r="F29" s="19">
        <f>Assumptions!$B$64*(F11/Assumptions!$B$28)</f>
        <v>544</v>
      </c>
      <c r="G29" s="19">
        <f>Assumptions!$B$64*(G11/Assumptions!$B$28)</f>
        <v>641.6</v>
      </c>
      <c r="H29" s="19">
        <f>Assumptions!$B$64*(H11/Assumptions!$B$28)</f>
        <v>755.19999999999993</v>
      </c>
      <c r="I29" s="19">
        <f>Assumptions!$B$64*(I11/Assumptions!$B$28)</f>
        <v>888.00000000000011</v>
      </c>
      <c r="J29" s="19">
        <f>Assumptions!$B$64*(J11/Assumptions!$B$28)</f>
        <v>1044.8</v>
      </c>
      <c r="K29" s="19">
        <f>Assumptions!$B$64*(K11/Assumptions!$B$28)</f>
        <v>1230.4000000000001</v>
      </c>
      <c r="L29" s="19">
        <f>Assumptions!$B$64*(L11/Assumptions!$B$28)</f>
        <v>1448</v>
      </c>
      <c r="M29" s="19">
        <f>Assumptions!$B$64*(M11/Assumptions!$B$28)</f>
        <v>1705.6000000000001</v>
      </c>
      <c r="N29" s="19">
        <f>Assumptions!$B$64*(N11/Assumptions!$B$28)</f>
        <v>2009.6</v>
      </c>
      <c r="O29" s="136">
        <f t="shared" si="5"/>
        <v>11544.000000000002</v>
      </c>
    </row>
    <row r="30" spans="1:15" x14ac:dyDescent="0.2">
      <c r="A30" s="6" t="s">
        <v>737</v>
      </c>
      <c r="B30" s="144" t="s">
        <v>493</v>
      </c>
      <c r="C30" s="19">
        <f>Assumptions!$B$65*(C11/Assumptions!$B$28)</f>
        <v>200</v>
      </c>
      <c r="D30" s="19">
        <f>Assumptions!$B$65*(D11/Assumptions!$B$28)</f>
        <v>206.4</v>
      </c>
      <c r="E30" s="19">
        <f>Assumptions!$B$65*(E11/Assumptions!$B$28)</f>
        <v>231.99999999999997</v>
      </c>
      <c r="F30" s="19">
        <f>Assumptions!$B$65*(F11/Assumptions!$B$28)</f>
        <v>272</v>
      </c>
      <c r="G30" s="19">
        <f>Assumptions!$B$65*(G11/Assumptions!$B$28)</f>
        <v>320.8</v>
      </c>
      <c r="H30" s="19">
        <f>Assumptions!$B$65*(H11/Assumptions!$B$28)</f>
        <v>377.59999999999997</v>
      </c>
      <c r="I30" s="19">
        <f>Assumptions!$B$65*(I11/Assumptions!$B$28)</f>
        <v>444.00000000000006</v>
      </c>
      <c r="J30" s="19">
        <f>Assumptions!$B$65*(J11/Assumptions!$B$28)</f>
        <v>522.4</v>
      </c>
      <c r="K30" s="19">
        <f>Assumptions!$B$65*(K11/Assumptions!$B$28)</f>
        <v>615.20000000000005</v>
      </c>
      <c r="L30" s="19">
        <f>Assumptions!$B$65*(L11/Assumptions!$B$28)</f>
        <v>724</v>
      </c>
      <c r="M30" s="19">
        <f>Assumptions!$B$65*(M11/Assumptions!$B$28)</f>
        <v>852.80000000000007</v>
      </c>
      <c r="N30" s="19">
        <f>Assumptions!$B$65*(N11/Assumptions!$B$28)</f>
        <v>1004.8</v>
      </c>
      <c r="O30" s="136">
        <f t="shared" si="5"/>
        <v>5772.0000000000009</v>
      </c>
    </row>
    <row r="31" spans="1:15" x14ac:dyDescent="0.2">
      <c r="A31" s="6" t="s">
        <v>738</v>
      </c>
      <c r="B31" s="144" t="s">
        <v>739</v>
      </c>
      <c r="C31" s="19">
        <f>C6*Assumptions!$B$67</f>
        <v>3750</v>
      </c>
      <c r="D31" s="19">
        <f>D6*Assumptions!$B$67</f>
        <v>1050</v>
      </c>
      <c r="E31" s="19">
        <f>E6*Assumptions!$B$67</f>
        <v>1080</v>
      </c>
      <c r="F31" s="19">
        <f>F6*Assumptions!$B$67</f>
        <v>1215</v>
      </c>
      <c r="G31" s="19">
        <f>G6*Assumptions!$B$67</f>
        <v>1425</v>
      </c>
      <c r="H31" s="19">
        <f>H6*Assumptions!$B$67</f>
        <v>1680</v>
      </c>
      <c r="I31" s="19">
        <f>I6*Assumptions!$B$67</f>
        <v>1980</v>
      </c>
      <c r="J31" s="19">
        <f>J6*Assumptions!$B$67</f>
        <v>2325</v>
      </c>
      <c r="K31" s="19">
        <f>K6*Assumptions!$B$67</f>
        <v>2745</v>
      </c>
      <c r="L31" s="19">
        <f>L6*Assumptions!$B$67</f>
        <v>3225</v>
      </c>
      <c r="M31" s="19">
        <f>M6*Assumptions!$B$67</f>
        <v>3795</v>
      </c>
      <c r="N31" s="19">
        <f>N6*Assumptions!$B$67</f>
        <v>4470</v>
      </c>
      <c r="O31" s="136">
        <f t="shared" si="5"/>
        <v>28740</v>
      </c>
    </row>
    <row r="32" spans="1:15" x14ac:dyDescent="0.2">
      <c r="A32" s="7" t="s">
        <v>740</v>
      </c>
      <c r="B32" s="144" t="s">
        <v>720</v>
      </c>
      <c r="C32" s="136">
        <f t="shared" ref="C32:N32" si="6">SUM(C26:C31)</f>
        <v>7312.5</v>
      </c>
      <c r="D32" s="136">
        <f t="shared" si="6"/>
        <v>4733.3392063488191</v>
      </c>
      <c r="E32" s="136">
        <f t="shared" si="6"/>
        <v>5207.5644941415203</v>
      </c>
      <c r="F32" s="136">
        <f t="shared" si="6"/>
        <v>5980.040428175249</v>
      </c>
      <c r="G32" s="136">
        <f t="shared" si="6"/>
        <v>6958.6110977352046</v>
      </c>
      <c r="H32" s="136">
        <f t="shared" si="6"/>
        <v>8100.1537233883309</v>
      </c>
      <c r="I32" s="136">
        <f t="shared" si="6"/>
        <v>9428.3370290601069</v>
      </c>
      <c r="J32" s="136">
        <f t="shared" si="6"/>
        <v>10979.091021453563</v>
      </c>
      <c r="K32" s="136">
        <f t="shared" si="6"/>
        <v>12816.866071177201</v>
      </c>
      <c r="L32" s="136">
        <f t="shared" si="6"/>
        <v>14948.998432235236</v>
      </c>
      <c r="M32" s="136">
        <f t="shared" si="6"/>
        <v>17463.944915889959</v>
      </c>
      <c r="N32" s="136">
        <f t="shared" si="6"/>
        <v>20421.956492943602</v>
      </c>
      <c r="O32" s="136">
        <f t="shared" si="5"/>
        <v>124351.4029125488</v>
      </c>
    </row>
    <row r="34" spans="1:15" x14ac:dyDescent="0.2">
      <c r="A34" s="7" t="s">
        <v>741</v>
      </c>
      <c r="B34" s="144" t="s">
        <v>713</v>
      </c>
      <c r="C34" s="136">
        <f t="shared" ref="C34:N34" si="7">C23-C32</f>
        <v>-7312.5</v>
      </c>
      <c r="D34" s="136">
        <f t="shared" si="7"/>
        <v>-2853.3392063488191</v>
      </c>
      <c r="E34" s="136">
        <f t="shared" si="7"/>
        <v>643.6855058584797</v>
      </c>
      <c r="F34" s="136">
        <f t="shared" si="7"/>
        <v>1171.209571824751</v>
      </c>
      <c r="G34" s="136">
        <f t="shared" si="7"/>
        <v>1552.6389022647954</v>
      </c>
      <c r="H34" s="136">
        <f t="shared" si="7"/>
        <v>1930.0962766116691</v>
      </c>
      <c r="I34" s="136">
        <f t="shared" si="7"/>
        <v>2344.4129709398931</v>
      </c>
      <c r="J34" s="136">
        <f t="shared" si="7"/>
        <v>2878.6589785464366</v>
      </c>
      <c r="K34" s="136">
        <f t="shared" si="7"/>
        <v>3500.6339288227991</v>
      </c>
      <c r="L34" s="136">
        <f t="shared" si="7"/>
        <v>4255.2515677647643</v>
      </c>
      <c r="M34" s="136">
        <f t="shared" si="7"/>
        <v>5173.0550841100412</v>
      </c>
      <c r="N34" s="136">
        <f t="shared" si="7"/>
        <v>6246.0435070563981</v>
      </c>
      <c r="O34" s="136">
        <f>SUM(C34:N34)</f>
        <v>19529.847087451206</v>
      </c>
    </row>
    <row r="35" spans="1:15" x14ac:dyDescent="0.2">
      <c r="A35" s="6" t="s">
        <v>742</v>
      </c>
      <c r="B35" s="144" t="s">
        <v>389</v>
      </c>
      <c r="C35" s="24">
        <f t="shared" ref="C35:O35" si="8">IF(C23=0,0,C34/C23)</f>
        <v>0</v>
      </c>
      <c r="D35" s="24">
        <f t="shared" si="8"/>
        <v>-1.5177336203983081</v>
      </c>
      <c r="E35" s="24">
        <f t="shared" si="8"/>
        <v>0.11000820437658274</v>
      </c>
      <c r="F35" s="24">
        <f t="shared" si="8"/>
        <v>0.16377690219538557</v>
      </c>
      <c r="G35" s="24">
        <f t="shared" si="8"/>
        <v>0.18242195943777886</v>
      </c>
      <c r="H35" s="24">
        <f t="shared" si="8"/>
        <v>0.19242753436969856</v>
      </c>
      <c r="I35" s="24">
        <f t="shared" si="8"/>
        <v>0.19913894127879153</v>
      </c>
      <c r="J35" s="24">
        <f t="shared" si="8"/>
        <v>0.20772917526629045</v>
      </c>
      <c r="K35" s="24">
        <f t="shared" si="8"/>
        <v>0.21453249142471575</v>
      </c>
      <c r="L35" s="24">
        <f t="shared" si="8"/>
        <v>0.22157863846621265</v>
      </c>
      <c r="M35" s="24">
        <f t="shared" si="8"/>
        <v>0.22852211353580604</v>
      </c>
      <c r="N35" s="24">
        <f t="shared" si="8"/>
        <v>0.2342149207685765</v>
      </c>
      <c r="O35" s="148">
        <f t="shared" si="8"/>
        <v>0.13573587307207302</v>
      </c>
    </row>
    <row r="37" spans="1:15" x14ac:dyDescent="0.2">
      <c r="A37" s="25" t="s">
        <v>743</v>
      </c>
    </row>
    <row r="38" spans="1:15" x14ac:dyDescent="0.2">
      <c r="A38" s="6" t="s">
        <v>744</v>
      </c>
      <c r="B38" s="144" t="s">
        <v>506</v>
      </c>
      <c r="C38" s="19">
        <f>Assumptions!$C$87</f>
        <v>7500</v>
      </c>
      <c r="D38" s="19">
        <f>Assumptions!$C$87</f>
        <v>7500</v>
      </c>
      <c r="E38" s="19">
        <f>Assumptions!$C$87</f>
        <v>7500</v>
      </c>
      <c r="F38" s="19">
        <f>Assumptions!$C$87</f>
        <v>7500</v>
      </c>
      <c r="G38" s="19">
        <f>Assumptions!$C$87</f>
        <v>7500</v>
      </c>
      <c r="H38" s="19">
        <f>Assumptions!$C$87</f>
        <v>7500</v>
      </c>
      <c r="I38" s="19">
        <f>Assumptions!$C$87</f>
        <v>7500</v>
      </c>
      <c r="J38" s="19">
        <f>Assumptions!$C$87</f>
        <v>7500</v>
      </c>
      <c r="K38" s="19">
        <f>Assumptions!$C$87</f>
        <v>7500</v>
      </c>
      <c r="L38" s="19">
        <f>Assumptions!$C$87</f>
        <v>7500</v>
      </c>
      <c r="M38" s="19">
        <f>Assumptions!$C$87</f>
        <v>7500</v>
      </c>
      <c r="N38" s="19">
        <f>Assumptions!$C$87</f>
        <v>7500</v>
      </c>
      <c r="O38" s="136">
        <f t="shared" ref="O38:O45" si="9">SUM(C38:N38)</f>
        <v>90000</v>
      </c>
    </row>
    <row r="39" spans="1:15" x14ac:dyDescent="0.2">
      <c r="A39" s="6" t="s">
        <v>745</v>
      </c>
      <c r="B39" s="144" t="s">
        <v>735</v>
      </c>
      <c r="C39" s="19">
        <f>Assumptions!$B$66*(C11/Assumptions!$B$28)</f>
        <v>1500</v>
      </c>
      <c r="D39" s="19">
        <f>Assumptions!$B$66*(D11/Assumptions!$B$28)</f>
        <v>1548</v>
      </c>
      <c r="E39" s="19">
        <f>Assumptions!$B$66*(E11/Assumptions!$B$28)</f>
        <v>1739.9999999999998</v>
      </c>
      <c r="F39" s="19">
        <f>Assumptions!$B$66*(F11/Assumptions!$B$28)</f>
        <v>2040.0000000000002</v>
      </c>
      <c r="G39" s="19">
        <f>Assumptions!$B$66*(G11/Assumptions!$B$28)</f>
        <v>2406</v>
      </c>
      <c r="H39" s="19">
        <f>Assumptions!$B$66*(H11/Assumptions!$B$28)</f>
        <v>2832</v>
      </c>
      <c r="I39" s="19">
        <f>Assumptions!$B$66*(I11/Assumptions!$B$28)</f>
        <v>3330.0000000000005</v>
      </c>
      <c r="J39" s="19">
        <f>Assumptions!$B$66*(J11/Assumptions!$B$28)</f>
        <v>3918</v>
      </c>
      <c r="K39" s="19">
        <f>Assumptions!$B$66*(K11/Assumptions!$B$28)</f>
        <v>4614</v>
      </c>
      <c r="L39" s="19">
        <f>Assumptions!$B$66*(L11/Assumptions!$B$28)</f>
        <v>5430</v>
      </c>
      <c r="M39" s="19">
        <f>Assumptions!$B$66*(M11/Assumptions!$B$28)</f>
        <v>6396</v>
      </c>
      <c r="N39" s="19">
        <f>Assumptions!$B$66*(N11/Assumptions!$B$28)</f>
        <v>7536</v>
      </c>
      <c r="O39" s="136">
        <f t="shared" si="9"/>
        <v>43290</v>
      </c>
    </row>
    <row r="40" spans="1:15" x14ac:dyDescent="0.2">
      <c r="A40" s="6" t="s">
        <v>746</v>
      </c>
      <c r="B40" s="144" t="s">
        <v>493</v>
      </c>
      <c r="C40" s="19">
        <f>C6*Assumptions!$B$68</f>
        <v>7500</v>
      </c>
      <c r="D40" s="19">
        <f>D6*Assumptions!$B$68</f>
        <v>2100</v>
      </c>
      <c r="E40" s="19">
        <f>E6*Assumptions!$B$68</f>
        <v>2160</v>
      </c>
      <c r="F40" s="19">
        <f>F6*Assumptions!$B$68</f>
        <v>2430</v>
      </c>
      <c r="G40" s="19">
        <f>G6*Assumptions!$B$68</f>
        <v>2850</v>
      </c>
      <c r="H40" s="19">
        <f>H6*Assumptions!$B$68</f>
        <v>3360</v>
      </c>
      <c r="I40" s="19">
        <f>I6*Assumptions!$B$68</f>
        <v>3960</v>
      </c>
      <c r="J40" s="19">
        <f>J6*Assumptions!$B$68</f>
        <v>4650</v>
      </c>
      <c r="K40" s="19">
        <f>K6*Assumptions!$B$68</f>
        <v>5490</v>
      </c>
      <c r="L40" s="19">
        <f>L6*Assumptions!$B$68</f>
        <v>6450</v>
      </c>
      <c r="M40" s="19">
        <f>M6*Assumptions!$B$68</f>
        <v>7590</v>
      </c>
      <c r="N40" s="19">
        <f>N6*Assumptions!$B$68</f>
        <v>8940</v>
      </c>
      <c r="O40" s="136">
        <f t="shared" si="9"/>
        <v>57480</v>
      </c>
    </row>
    <row r="41" spans="1:15" x14ac:dyDescent="0.2">
      <c r="A41" s="6" t="s">
        <v>747</v>
      </c>
      <c r="B41" s="144" t="s">
        <v>506</v>
      </c>
      <c r="C41" s="19">
        <f>Assumptions!$B$69</f>
        <v>3000</v>
      </c>
      <c r="D41" s="19">
        <f>Assumptions!$B$69</f>
        <v>3000</v>
      </c>
      <c r="E41" s="19">
        <f>Assumptions!$B$69</f>
        <v>3000</v>
      </c>
      <c r="F41" s="19">
        <f>Assumptions!$B$69</f>
        <v>3000</v>
      </c>
      <c r="G41" s="19">
        <f>Assumptions!$B$69</f>
        <v>3000</v>
      </c>
      <c r="H41" s="19">
        <f>Assumptions!$B$69</f>
        <v>3000</v>
      </c>
      <c r="I41" s="19">
        <f>Assumptions!$B$69</f>
        <v>3000</v>
      </c>
      <c r="J41" s="19">
        <f>Assumptions!$B$69</f>
        <v>3000</v>
      </c>
      <c r="K41" s="19">
        <f>Assumptions!$B$69</f>
        <v>3000</v>
      </c>
      <c r="L41" s="19">
        <f>Assumptions!$B$69</f>
        <v>3000</v>
      </c>
      <c r="M41" s="19">
        <f>Assumptions!$B$69</f>
        <v>3000</v>
      </c>
      <c r="N41" s="19">
        <f>Assumptions!$B$69</f>
        <v>3000</v>
      </c>
      <c r="O41" s="136">
        <f t="shared" si="9"/>
        <v>36000</v>
      </c>
    </row>
    <row r="42" spans="1:15" x14ac:dyDescent="0.2">
      <c r="A42" s="6" t="s">
        <v>748</v>
      </c>
      <c r="B42" s="144" t="s">
        <v>506</v>
      </c>
      <c r="C42" s="19">
        <f>Assumptions!$C$98</f>
        <v>11083.333333333334</v>
      </c>
      <c r="D42" s="19">
        <f>Assumptions!$C$98</f>
        <v>11083.333333333334</v>
      </c>
      <c r="E42" s="19">
        <f>Assumptions!$C$98</f>
        <v>11083.333333333334</v>
      </c>
      <c r="F42" s="19">
        <f>Assumptions!$C$98</f>
        <v>11083.333333333334</v>
      </c>
      <c r="G42" s="19">
        <f>Assumptions!$C$98</f>
        <v>11083.333333333334</v>
      </c>
      <c r="H42" s="19">
        <f>Assumptions!$C$98</f>
        <v>11083.333333333334</v>
      </c>
      <c r="I42" s="19">
        <f>Assumptions!$C$98</f>
        <v>11083.333333333334</v>
      </c>
      <c r="J42" s="19">
        <f>Assumptions!$C$98</f>
        <v>11083.333333333334</v>
      </c>
      <c r="K42" s="19">
        <f>Assumptions!$C$98</f>
        <v>11083.333333333334</v>
      </c>
      <c r="L42" s="19">
        <f>Assumptions!$C$98</f>
        <v>11083.333333333334</v>
      </c>
      <c r="M42" s="19">
        <f>Assumptions!$C$98</f>
        <v>11083.333333333334</v>
      </c>
      <c r="N42" s="19">
        <f>Assumptions!$C$98</f>
        <v>11083.333333333334</v>
      </c>
      <c r="O42" s="136">
        <f t="shared" si="9"/>
        <v>132999.99999999997</v>
      </c>
    </row>
    <row r="43" spans="1:15" x14ac:dyDescent="0.2">
      <c r="A43" s="6" t="s">
        <v>749</v>
      </c>
      <c r="B43" s="144" t="s">
        <v>506</v>
      </c>
      <c r="C43" s="19">
        <f>Assumptions!$C$85</f>
        <v>400</v>
      </c>
      <c r="D43" s="19">
        <f>Assumptions!$C$85</f>
        <v>400</v>
      </c>
      <c r="E43" s="19">
        <f>Assumptions!$C$85</f>
        <v>400</v>
      </c>
      <c r="F43" s="19">
        <f>Assumptions!$C$85</f>
        <v>400</v>
      </c>
      <c r="G43" s="19">
        <f>Assumptions!$C$85</f>
        <v>400</v>
      </c>
      <c r="H43" s="19">
        <f>Assumptions!$C$85</f>
        <v>400</v>
      </c>
      <c r="I43" s="19">
        <f>Assumptions!$C$85</f>
        <v>400</v>
      </c>
      <c r="J43" s="19">
        <f>Assumptions!$C$85</f>
        <v>400</v>
      </c>
      <c r="K43" s="19">
        <f>Assumptions!$C$85</f>
        <v>400</v>
      </c>
      <c r="L43" s="19">
        <f>Assumptions!$C$85</f>
        <v>400</v>
      </c>
      <c r="M43" s="19">
        <f>Assumptions!$C$85</f>
        <v>400</v>
      </c>
      <c r="N43" s="19">
        <f>Assumptions!$C$85</f>
        <v>400</v>
      </c>
      <c r="O43" s="136">
        <f t="shared" si="9"/>
        <v>4800</v>
      </c>
    </row>
    <row r="44" spans="1:15" x14ac:dyDescent="0.2">
      <c r="A44" s="32" t="s">
        <v>750</v>
      </c>
      <c r="B44" s="144" t="s">
        <v>751</v>
      </c>
      <c r="C44" s="146">
        <f>SUM(C38:C43)*IF(COLUMN(C38)-COLUMN($B$38)&lt;=1,Assumptions!$B$73,IF(COLUMN(C38)-COLUMN($B$38)&lt;=4,Assumptions!$B$74,Assumptions!$B$75))</f>
        <v>4647.5</v>
      </c>
      <c r="D44" s="146">
        <f>SUM(D38:D43)*IF(COLUMN(D38)-COLUMN($B$38)&lt;=1,Assumptions!$B$73,IF(COLUMN(D38)-COLUMN($B$38)&lt;=4,Assumptions!$B$74,Assumptions!$B$75))</f>
        <v>1794.1933333333336</v>
      </c>
      <c r="E44" s="146">
        <f>SUM(E38:E43)*IF(COLUMN(E38)-COLUMN($B$38)&lt;=1,Assumptions!$B$73,IF(COLUMN(E38)-COLUMN($B$38)&lt;=4,Assumptions!$B$74,Assumptions!$B$75))</f>
        <v>1811.8333333333337</v>
      </c>
      <c r="F44" s="146">
        <f>SUM(F38:F43)*IF(COLUMN(F38)-COLUMN($B$38)&lt;=1,Assumptions!$B$73,IF(COLUMN(F38)-COLUMN($B$38)&lt;=4,Assumptions!$B$74,Assumptions!$B$75))</f>
        <v>1851.7333333333336</v>
      </c>
      <c r="G44" s="146">
        <f>SUM(G38:G43)*IF(COLUMN(G38)-COLUMN($B$38)&lt;=1,Assumptions!$B$73,IF(COLUMN(G38)-COLUMN($B$38)&lt;=4,Assumptions!$B$74,Assumptions!$B$75))</f>
        <v>2723.9333333333338</v>
      </c>
      <c r="H44" s="146">
        <f>SUM(H38:H43)*IF(COLUMN(H38)-COLUMN($B$38)&lt;=1,Assumptions!$B$73,IF(COLUMN(H38)-COLUMN($B$38)&lt;=4,Assumptions!$B$74,Assumptions!$B$75))</f>
        <v>2817.5333333333338</v>
      </c>
      <c r="I44" s="146">
        <f>SUM(I38:I43)*IF(COLUMN(I38)-COLUMN($B$38)&lt;=1,Assumptions!$B$73,IF(COLUMN(I38)-COLUMN($B$38)&lt;=4,Assumptions!$B$74,Assumptions!$B$75))</f>
        <v>2927.3333333333339</v>
      </c>
      <c r="J44" s="146">
        <f>SUM(J38:J43)*IF(COLUMN(J38)-COLUMN($B$38)&lt;=1,Assumptions!$B$73,IF(COLUMN(J38)-COLUMN($B$38)&lt;=4,Assumptions!$B$74,Assumptions!$B$75))</f>
        <v>3055.1333333333337</v>
      </c>
      <c r="K44" s="146">
        <f>SUM(K38:K43)*IF(COLUMN(K38)-COLUMN($B$38)&lt;=1,Assumptions!$B$73,IF(COLUMN(K38)-COLUMN($B$38)&lt;=4,Assumptions!$B$74,Assumptions!$B$75))</f>
        <v>3208.7333333333336</v>
      </c>
      <c r="L44" s="146">
        <f>SUM(L38:L43)*IF(COLUMN(L38)-COLUMN($B$38)&lt;=1,Assumptions!$B$73,IF(COLUMN(L38)-COLUMN($B$38)&lt;=4,Assumptions!$B$74,Assumptions!$B$75))</f>
        <v>3386.3333333333339</v>
      </c>
      <c r="M44" s="146">
        <f>SUM(M38:M43)*IF(COLUMN(M38)-COLUMN($B$38)&lt;=1,Assumptions!$B$73,IF(COLUMN(M38)-COLUMN($B$38)&lt;=4,Assumptions!$B$74,Assumptions!$B$75))</f>
        <v>3596.9333333333338</v>
      </c>
      <c r="N44" s="146">
        <f>SUM(N38:N43)*IF(COLUMN(N38)-COLUMN($B$38)&lt;=1,Assumptions!$B$73,IF(COLUMN(N38)-COLUMN($B$38)&lt;=4,Assumptions!$B$74,Assumptions!$B$75))</f>
        <v>3845.9333333333338</v>
      </c>
      <c r="O44" s="147">
        <f t="shared" si="9"/>
        <v>35667.126666666678</v>
      </c>
    </row>
    <row r="45" spans="1:15" x14ac:dyDescent="0.2">
      <c r="A45" s="7" t="s">
        <v>58</v>
      </c>
      <c r="B45" s="144" t="s">
        <v>720</v>
      </c>
      <c r="C45" s="136">
        <f t="shared" ref="C45:N45" si="10">SUM(C38:C44)</f>
        <v>35630.833333333336</v>
      </c>
      <c r="D45" s="136">
        <f t="shared" si="10"/>
        <v>27425.526666666668</v>
      </c>
      <c r="E45" s="136">
        <f t="shared" si="10"/>
        <v>27695.166666666668</v>
      </c>
      <c r="F45" s="136">
        <f t="shared" si="10"/>
        <v>28305.066666666669</v>
      </c>
      <c r="G45" s="136">
        <f t="shared" si="10"/>
        <v>29963.26666666667</v>
      </c>
      <c r="H45" s="136">
        <f t="shared" si="10"/>
        <v>30992.866666666669</v>
      </c>
      <c r="I45" s="136">
        <f t="shared" si="10"/>
        <v>32200.666666666672</v>
      </c>
      <c r="J45" s="136">
        <f t="shared" si="10"/>
        <v>33606.466666666667</v>
      </c>
      <c r="K45" s="136">
        <f t="shared" si="10"/>
        <v>35296.066666666666</v>
      </c>
      <c r="L45" s="136">
        <f t="shared" si="10"/>
        <v>37249.666666666672</v>
      </c>
      <c r="M45" s="136">
        <f t="shared" si="10"/>
        <v>39566.26666666667</v>
      </c>
      <c r="N45" s="136">
        <f t="shared" si="10"/>
        <v>42305.26666666667</v>
      </c>
      <c r="O45" s="136">
        <f t="shared" si="9"/>
        <v>400237.12666666671</v>
      </c>
    </row>
    <row r="47" spans="1:15" x14ac:dyDescent="0.2">
      <c r="A47" s="7" t="s">
        <v>752</v>
      </c>
      <c r="B47" s="144" t="s">
        <v>713</v>
      </c>
      <c r="C47" s="149">
        <f t="shared" ref="C47:N47" si="11">C34-C45</f>
        <v>-42943.333333333336</v>
      </c>
      <c r="D47" s="149">
        <f t="shared" si="11"/>
        <v>-30278.865873015486</v>
      </c>
      <c r="E47" s="149">
        <f t="shared" si="11"/>
        <v>-27051.481160808187</v>
      </c>
      <c r="F47" s="149">
        <f t="shared" si="11"/>
        <v>-27133.857094841918</v>
      </c>
      <c r="G47" s="149">
        <f t="shared" si="11"/>
        <v>-28410.627764401874</v>
      </c>
      <c r="H47" s="149">
        <f t="shared" si="11"/>
        <v>-29062.770390055</v>
      </c>
      <c r="I47" s="149">
        <f t="shared" si="11"/>
        <v>-29856.25369572678</v>
      </c>
      <c r="J47" s="149">
        <f t="shared" si="11"/>
        <v>-30727.807688120229</v>
      </c>
      <c r="K47" s="149">
        <f t="shared" si="11"/>
        <v>-31795.432737843868</v>
      </c>
      <c r="L47" s="149">
        <f t="shared" si="11"/>
        <v>-32994.415098901911</v>
      </c>
      <c r="M47" s="149">
        <f t="shared" si="11"/>
        <v>-34393.211582556629</v>
      </c>
      <c r="N47" s="149">
        <f t="shared" si="11"/>
        <v>-36059.223159610272</v>
      </c>
      <c r="O47" s="149">
        <f>SUM(C47:N47)</f>
        <v>-380707.27957921545</v>
      </c>
    </row>
    <row r="48" spans="1:15" x14ac:dyDescent="0.2">
      <c r="A48" s="6" t="s">
        <v>753</v>
      </c>
      <c r="B48" s="144" t="s">
        <v>389</v>
      </c>
      <c r="C48" s="24">
        <f t="shared" ref="C48:O48" si="12">IF(C23=0,0,C47/C23)</f>
        <v>0</v>
      </c>
      <c r="D48" s="24">
        <f t="shared" si="12"/>
        <v>-16.105779719689089</v>
      </c>
      <c r="E48" s="24">
        <f t="shared" si="12"/>
        <v>-4.6231969512169515</v>
      </c>
      <c r="F48" s="24">
        <f t="shared" si="12"/>
        <v>-3.7942817122659562</v>
      </c>
      <c r="G48" s="24">
        <f t="shared" si="12"/>
        <v>-3.3380088429316346</v>
      </c>
      <c r="H48" s="24">
        <f t="shared" si="12"/>
        <v>-2.8975120650088484</v>
      </c>
      <c r="I48" s="24">
        <f t="shared" si="12"/>
        <v>-2.5360475416301869</v>
      </c>
      <c r="J48" s="24">
        <f t="shared" si="12"/>
        <v>-2.2173735049427381</v>
      </c>
      <c r="K48" s="24">
        <f t="shared" si="12"/>
        <v>-1.9485480458307871</v>
      </c>
      <c r="L48" s="24">
        <f t="shared" si="12"/>
        <v>-1.7180788158299289</v>
      </c>
      <c r="M48" s="24">
        <f t="shared" si="12"/>
        <v>-1.5193361126720251</v>
      </c>
      <c r="N48" s="24">
        <f t="shared" si="12"/>
        <v>-1.3521532608223441</v>
      </c>
      <c r="O48" s="148">
        <f t="shared" si="12"/>
        <v>-2.645982569509338</v>
      </c>
    </row>
    <row r="50" spans="1:15" x14ac:dyDescent="0.2">
      <c r="A50" s="6" t="s">
        <v>754</v>
      </c>
      <c r="B50" s="144" t="s">
        <v>506</v>
      </c>
      <c r="C50" s="19">
        <f>Assumptions!$B$102/36</f>
        <v>972.22222222222217</v>
      </c>
      <c r="D50" s="19">
        <f>Assumptions!$B$102/36</f>
        <v>972.22222222222217</v>
      </c>
      <c r="E50" s="19">
        <f>Assumptions!$B$102/36</f>
        <v>972.22222222222217</v>
      </c>
      <c r="F50" s="19">
        <f>Assumptions!$B$102/36</f>
        <v>972.22222222222217</v>
      </c>
      <c r="G50" s="19">
        <f>Assumptions!$B$102/36</f>
        <v>972.22222222222217</v>
      </c>
      <c r="H50" s="19">
        <f>Assumptions!$B$102/36</f>
        <v>972.22222222222217</v>
      </c>
      <c r="I50" s="19">
        <f>Assumptions!$B$102/36</f>
        <v>972.22222222222217</v>
      </c>
      <c r="J50" s="19">
        <f>Assumptions!$B$102/36</f>
        <v>972.22222222222217</v>
      </c>
      <c r="K50" s="19">
        <f>Assumptions!$B$102/36</f>
        <v>972.22222222222217</v>
      </c>
      <c r="L50" s="19">
        <f>Assumptions!$B$102/36</f>
        <v>972.22222222222217</v>
      </c>
      <c r="M50" s="19">
        <f>Assumptions!$B$102/36</f>
        <v>972.22222222222217</v>
      </c>
      <c r="N50" s="19">
        <f>Assumptions!$B$102/36</f>
        <v>972.22222222222217</v>
      </c>
      <c r="O50" s="136">
        <f>SUM(C50:N50)</f>
        <v>11666.66666666667</v>
      </c>
    </row>
    <row r="51" spans="1:15" x14ac:dyDescent="0.2">
      <c r="A51" s="6" t="s">
        <v>755</v>
      </c>
      <c r="B51" s="144" t="s">
        <v>506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36">
        <f>SUM(C51:N51)</f>
        <v>0</v>
      </c>
    </row>
    <row r="53" spans="1:15" x14ac:dyDescent="0.2">
      <c r="A53" s="7" t="s">
        <v>756</v>
      </c>
      <c r="B53" s="144" t="s">
        <v>713</v>
      </c>
      <c r="C53" s="150">
        <f t="shared" ref="C53:N53" si="13">C47-C50-C51</f>
        <v>-43915.555555555555</v>
      </c>
      <c r="D53" s="150">
        <f t="shared" si="13"/>
        <v>-31251.088095237708</v>
      </c>
      <c r="E53" s="150">
        <f t="shared" si="13"/>
        <v>-28023.70338303041</v>
      </c>
      <c r="F53" s="150">
        <f t="shared" si="13"/>
        <v>-28106.079317064141</v>
      </c>
      <c r="G53" s="150">
        <f t="shared" si="13"/>
        <v>-29382.849986624096</v>
      </c>
      <c r="H53" s="150">
        <f t="shared" si="13"/>
        <v>-30034.992612277223</v>
      </c>
      <c r="I53" s="150">
        <f t="shared" si="13"/>
        <v>-30828.475917949003</v>
      </c>
      <c r="J53" s="150">
        <f t="shared" si="13"/>
        <v>-31700.029910342451</v>
      </c>
      <c r="K53" s="150">
        <f t="shared" si="13"/>
        <v>-32767.654960066091</v>
      </c>
      <c r="L53" s="150">
        <f t="shared" si="13"/>
        <v>-33966.63732112413</v>
      </c>
      <c r="M53" s="150">
        <f t="shared" si="13"/>
        <v>-35365.433804778848</v>
      </c>
      <c r="N53" s="150">
        <f t="shared" si="13"/>
        <v>-37031.445381832491</v>
      </c>
      <c r="O53" s="150">
        <f>SUM(C53:N53)</f>
        <v>-392373.94624588214</v>
      </c>
    </row>
    <row r="54" spans="1:15" x14ac:dyDescent="0.2">
      <c r="A54" s="6" t="s">
        <v>757</v>
      </c>
      <c r="B54" s="144" t="s">
        <v>389</v>
      </c>
      <c r="C54" s="24">
        <f t="shared" ref="C54:O54" si="14">IF(C23=0,0,C53/C23)</f>
        <v>0</v>
      </c>
      <c r="D54" s="24">
        <f t="shared" si="14"/>
        <v>-16.622919199594527</v>
      </c>
      <c r="E54" s="24">
        <f t="shared" si="14"/>
        <v>-4.78935328058627</v>
      </c>
      <c r="F54" s="24">
        <f t="shared" si="14"/>
        <v>-3.9302330805193693</v>
      </c>
      <c r="G54" s="24">
        <f t="shared" si="14"/>
        <v>-3.4522367439123625</v>
      </c>
      <c r="H54" s="24">
        <f t="shared" si="14"/>
        <v>-2.9944410769698884</v>
      </c>
      <c r="I54" s="24">
        <f t="shared" si="14"/>
        <v>-2.618629964787242</v>
      </c>
      <c r="J54" s="24">
        <f t="shared" si="14"/>
        <v>-2.2875307975928596</v>
      </c>
      <c r="K54" s="24">
        <f t="shared" si="14"/>
        <v>-2.0081296129962367</v>
      </c>
      <c r="L54" s="24">
        <f t="shared" si="14"/>
        <v>-1.7687041837678708</v>
      </c>
      <c r="M54" s="24">
        <f t="shared" si="14"/>
        <v>-1.5622844813702721</v>
      </c>
      <c r="N54" s="24">
        <f t="shared" si="14"/>
        <v>-1.388609771330152</v>
      </c>
      <c r="O54" s="148">
        <f t="shared" si="14"/>
        <v>-2.7270679553164996</v>
      </c>
    </row>
    <row r="56" spans="1:15" x14ac:dyDescent="0.2">
      <c r="A56" s="7" t="s">
        <v>758</v>
      </c>
      <c r="B56" s="144" t="s">
        <v>713</v>
      </c>
      <c r="C56" s="149">
        <f>C53</f>
        <v>-43915.555555555555</v>
      </c>
      <c r="D56" s="149">
        <f t="shared" ref="D56:N56" si="15">C56+D53</f>
        <v>-75166.643650793267</v>
      </c>
      <c r="E56" s="149">
        <f t="shared" si="15"/>
        <v>-103190.34703382368</v>
      </c>
      <c r="F56" s="149">
        <f t="shared" si="15"/>
        <v>-131296.42635088781</v>
      </c>
      <c r="G56" s="149">
        <f t="shared" si="15"/>
        <v>-160679.2763375119</v>
      </c>
      <c r="H56" s="149">
        <f t="shared" si="15"/>
        <v>-190714.26894978911</v>
      </c>
      <c r="I56" s="149">
        <f t="shared" si="15"/>
        <v>-221542.7448677381</v>
      </c>
      <c r="J56" s="149">
        <f t="shared" si="15"/>
        <v>-253242.77477808055</v>
      </c>
      <c r="K56" s="149">
        <f t="shared" si="15"/>
        <v>-286010.42973814666</v>
      </c>
      <c r="L56" s="149">
        <f t="shared" si="15"/>
        <v>-319977.0670592708</v>
      </c>
      <c r="M56" s="149">
        <f t="shared" si="15"/>
        <v>-355342.50086404965</v>
      </c>
      <c r="N56" s="149">
        <f t="shared" si="15"/>
        <v>-392373.94624588214</v>
      </c>
      <c r="O56" s="149">
        <f>N56</f>
        <v>-392373.94624588214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8F00"/>
  </sheetPr>
  <dimension ref="A1:F62"/>
  <sheetViews>
    <sheetView topLeftCell="A27" zoomScale="115" workbookViewId="0"/>
  </sheetViews>
  <sheetFormatPr baseColWidth="10" defaultRowHeight="16" x14ac:dyDescent="0.2"/>
  <cols>
    <col min="1" max="1" width="43.33203125" customWidth="1"/>
    <col min="2" max="5" width="20" customWidth="1"/>
    <col min="6" max="6" width="40" customWidth="1"/>
    <col min="7" max="7" width="18.33203125" customWidth="1"/>
  </cols>
  <sheetData>
    <row r="1" spans="1:6" ht="19" customHeight="1" x14ac:dyDescent="0.25">
      <c r="A1" s="37" t="s">
        <v>759</v>
      </c>
      <c r="B1" s="1"/>
      <c r="C1" s="1"/>
      <c r="D1" s="1"/>
      <c r="E1" s="1"/>
      <c r="F1" s="1"/>
    </row>
    <row r="2" spans="1:6" x14ac:dyDescent="0.2">
      <c r="A2" s="38" t="s">
        <v>760</v>
      </c>
      <c r="B2" s="2"/>
      <c r="C2" s="2"/>
      <c r="D2" s="2"/>
      <c r="E2" s="2"/>
      <c r="F2" s="2"/>
    </row>
    <row r="4" spans="1:6" x14ac:dyDescent="0.2">
      <c r="A4" s="38" t="s">
        <v>761</v>
      </c>
      <c r="B4" s="2"/>
      <c r="C4" s="2"/>
      <c r="D4" s="2"/>
      <c r="E4" s="2"/>
      <c r="F4" s="2"/>
    </row>
    <row r="5" spans="1:6" x14ac:dyDescent="0.2">
      <c r="A5" s="8" t="s">
        <v>154</v>
      </c>
      <c r="B5" s="9" t="s">
        <v>762</v>
      </c>
      <c r="C5" s="9" t="s">
        <v>763</v>
      </c>
      <c r="D5" s="9" t="s">
        <v>764</v>
      </c>
      <c r="E5" s="9" t="s">
        <v>765</v>
      </c>
    </row>
    <row r="6" spans="1:6" x14ac:dyDescent="0.2">
      <c r="A6" s="6" t="s">
        <v>456</v>
      </c>
      <c r="B6" s="137">
        <f>Assumptions!E47</f>
        <v>8</v>
      </c>
      <c r="C6" s="137">
        <f>Assumptions!E48</f>
        <v>9</v>
      </c>
      <c r="D6" s="137">
        <f>Assumptions!E49</f>
        <v>12</v>
      </c>
      <c r="E6" s="137">
        <f>Assumptions!B9</f>
        <v>9</v>
      </c>
    </row>
    <row r="7" spans="1:6" x14ac:dyDescent="0.2">
      <c r="A7" s="6" t="s">
        <v>766</v>
      </c>
      <c r="B7" s="139">
        <f>Assumptions!F47</f>
        <v>492.96000000000004</v>
      </c>
      <c r="C7" s="139">
        <f>Assumptions!F48</f>
        <v>554.58000000000004</v>
      </c>
      <c r="D7" s="139">
        <f>Assumptions!F49</f>
        <v>739.44</v>
      </c>
      <c r="E7" s="139">
        <f>Assumptions!B11</f>
        <v>554.58000000000004</v>
      </c>
    </row>
    <row r="8" spans="1:6" x14ac:dyDescent="0.2">
      <c r="A8" s="6" t="s">
        <v>767</v>
      </c>
      <c r="B8" s="151">
        <f>-Assumptions!B22</f>
        <v>-350</v>
      </c>
      <c r="C8" s="151">
        <f>-Assumptions!B22</f>
        <v>-350</v>
      </c>
      <c r="D8" s="151">
        <f>-Assumptions!B22</f>
        <v>-350</v>
      </c>
      <c r="E8" s="151">
        <f>-Assumptions!B22</f>
        <v>-350</v>
      </c>
      <c r="F8" s="6" t="s">
        <v>768</v>
      </c>
    </row>
    <row r="9" spans="1:6" x14ac:dyDescent="0.2">
      <c r="A9" s="6" t="s">
        <v>769</v>
      </c>
      <c r="B9" s="151">
        <f>-Assumptions!B47</f>
        <v>-20</v>
      </c>
      <c r="C9" s="151">
        <f>-Assumptions!B48</f>
        <v>-35</v>
      </c>
      <c r="D9" s="151">
        <f>-Assumptions!B49</f>
        <v>-55</v>
      </c>
      <c r="E9" s="151">
        <f>-Assumptions!B50</f>
        <v>-32.25</v>
      </c>
    </row>
    <row r="10" spans="1:6" x14ac:dyDescent="0.2">
      <c r="A10" s="7" t="s">
        <v>770</v>
      </c>
      <c r="B10" s="20">
        <f>B7+B8+B9</f>
        <v>122.96000000000004</v>
      </c>
      <c r="C10" s="20">
        <f>C7+C8+C9</f>
        <v>169.58000000000004</v>
      </c>
      <c r="D10" s="20">
        <f>D7+D8+D9</f>
        <v>334.44000000000005</v>
      </c>
      <c r="E10" s="20">
        <f>E7+E8+E9</f>
        <v>172.33000000000004</v>
      </c>
    </row>
    <row r="11" spans="1:6" x14ac:dyDescent="0.2">
      <c r="A11" s="6" t="s">
        <v>771</v>
      </c>
      <c r="B11" s="24">
        <f>B10/B7</f>
        <v>0.24943200259655962</v>
      </c>
      <c r="C11" s="24">
        <f>C10/C7</f>
        <v>0.30578095135057165</v>
      </c>
      <c r="D11" s="24">
        <f>D10/D7</f>
        <v>0.45228821811100295</v>
      </c>
      <c r="E11" s="24">
        <f>E10/E7</f>
        <v>0.31073965884092469</v>
      </c>
      <c r="F11" s="6" t="s">
        <v>772</v>
      </c>
    </row>
    <row r="13" spans="1:6" x14ac:dyDescent="0.2">
      <c r="A13" s="38" t="s">
        <v>773</v>
      </c>
      <c r="B13" s="2"/>
      <c r="C13" s="2"/>
      <c r="D13" s="2"/>
      <c r="E13" s="2"/>
      <c r="F13" s="2"/>
    </row>
    <row r="14" spans="1:6" x14ac:dyDescent="0.2">
      <c r="A14" s="8" t="s">
        <v>154</v>
      </c>
      <c r="B14" s="9" t="s">
        <v>762</v>
      </c>
      <c r="C14" s="9" t="s">
        <v>763</v>
      </c>
      <c r="D14" s="9" t="s">
        <v>764</v>
      </c>
      <c r="E14" s="9" t="s">
        <v>765</v>
      </c>
    </row>
    <row r="15" spans="1:6" x14ac:dyDescent="0.2">
      <c r="A15" s="6" t="s">
        <v>593</v>
      </c>
      <c r="B15" s="137">
        <f>Assumptions!B47</f>
        <v>20</v>
      </c>
      <c r="C15" s="137">
        <f>Assumptions!B48</f>
        <v>35</v>
      </c>
      <c r="D15" s="137">
        <f>Assumptions!B49</f>
        <v>55</v>
      </c>
      <c r="E15" s="137">
        <f>Assumptions!B50</f>
        <v>32.25</v>
      </c>
    </row>
    <row r="16" spans="1:6" x14ac:dyDescent="0.2">
      <c r="A16" s="6" t="s">
        <v>455</v>
      </c>
      <c r="B16" s="138">
        <f>Assumptions!D47</f>
        <v>0.45</v>
      </c>
      <c r="C16" s="138">
        <f>Assumptions!D48</f>
        <v>0.35</v>
      </c>
      <c r="D16" s="138">
        <f>Assumptions!D49</f>
        <v>0.2</v>
      </c>
      <c r="E16" s="132">
        <f>SUM(B16:D16)</f>
        <v>1</v>
      </c>
    </row>
    <row r="17" spans="1:6" x14ac:dyDescent="0.2">
      <c r="A17" s="7" t="s">
        <v>774</v>
      </c>
      <c r="B17" s="12">
        <f>B15</f>
        <v>20</v>
      </c>
      <c r="C17" s="12">
        <f>C15</f>
        <v>35</v>
      </c>
      <c r="D17" s="12">
        <f>D15</f>
        <v>55</v>
      </c>
      <c r="E17" s="12">
        <f>E15</f>
        <v>32.25</v>
      </c>
    </row>
    <row r="19" spans="1:6" x14ac:dyDescent="0.2">
      <c r="A19" s="38" t="s">
        <v>775</v>
      </c>
      <c r="B19" s="2"/>
      <c r="C19" s="2"/>
      <c r="D19" s="2"/>
      <c r="E19" s="2"/>
      <c r="F19" s="2"/>
    </row>
    <row r="20" spans="1:6" x14ac:dyDescent="0.2">
      <c r="A20" s="8" t="s">
        <v>487</v>
      </c>
      <c r="B20" s="9" t="s">
        <v>762</v>
      </c>
      <c r="C20" s="9" t="s">
        <v>763</v>
      </c>
      <c r="D20" s="9" t="s">
        <v>764</v>
      </c>
      <c r="E20" s="9" t="s">
        <v>765</v>
      </c>
    </row>
    <row r="21" spans="1:6" x14ac:dyDescent="0.2">
      <c r="A21" s="6" t="s">
        <v>776</v>
      </c>
      <c r="B21" s="152">
        <f>B15*Assumptions!$B$13*Assumptions!$B$14</f>
        <v>0.21</v>
      </c>
      <c r="C21" s="152">
        <f>C15*Assumptions!$B$13*Assumptions!$B$14</f>
        <v>0.36749999999999999</v>
      </c>
      <c r="D21" s="152">
        <f>D15*Assumptions!$B$13*Assumptions!$B$14</f>
        <v>0.57750000000000001</v>
      </c>
      <c r="E21" s="152">
        <f>E15*Assumptions!$B$13*Assumptions!$B$14</f>
        <v>0.33862499999999995</v>
      </c>
    </row>
    <row r="22" spans="1:6" x14ac:dyDescent="0.2">
      <c r="A22" s="6" t="s">
        <v>777</v>
      </c>
      <c r="B22" s="153">
        <f>Assumptions!$B$55</f>
        <v>5</v>
      </c>
      <c r="C22" s="153">
        <f>Assumptions!$B$55</f>
        <v>5</v>
      </c>
      <c r="D22" s="153">
        <f>Assumptions!$B$55</f>
        <v>5</v>
      </c>
      <c r="E22" s="153">
        <f>Assumptions!$B$55</f>
        <v>5</v>
      </c>
      <c r="F22" s="6" t="s">
        <v>778</v>
      </c>
    </row>
    <row r="23" spans="1:6" x14ac:dyDescent="0.2">
      <c r="A23" s="6" t="s">
        <v>779</v>
      </c>
      <c r="B23" s="152">
        <v>0</v>
      </c>
      <c r="C23" s="152">
        <v>0</v>
      </c>
      <c r="D23" s="153">
        <f>Assumptions!$B$56</f>
        <v>8</v>
      </c>
      <c r="E23" s="152">
        <f>D23*Assumptions!$D$49</f>
        <v>1.6</v>
      </c>
      <c r="F23" s="6" t="s">
        <v>780</v>
      </c>
    </row>
    <row r="24" spans="1:6" x14ac:dyDescent="0.2">
      <c r="A24" s="6" t="s">
        <v>781</v>
      </c>
      <c r="B24" s="152">
        <v>0</v>
      </c>
      <c r="C24" s="153">
        <f>Assumptions!$B$57</f>
        <v>3</v>
      </c>
      <c r="D24" s="153">
        <f>Assumptions!$B$57</f>
        <v>3</v>
      </c>
      <c r="E24" s="152">
        <f>C24*(Assumptions!$D$48+Assumptions!$D$49)</f>
        <v>1.6500000000000001</v>
      </c>
      <c r="F24" s="6" t="s">
        <v>480</v>
      </c>
    </row>
    <row r="25" spans="1:6" x14ac:dyDescent="0.2">
      <c r="A25" s="6" t="s">
        <v>782</v>
      </c>
      <c r="B25" s="152">
        <v>0</v>
      </c>
      <c r="C25" s="152">
        <v>0</v>
      </c>
      <c r="D25" s="153">
        <f>Assumptions!$B$58</f>
        <v>2</v>
      </c>
      <c r="E25" s="152">
        <f>D25*Assumptions!$D$49</f>
        <v>0.4</v>
      </c>
      <c r="F25" s="6" t="s">
        <v>780</v>
      </c>
    </row>
    <row r="26" spans="1:6" x14ac:dyDescent="0.2">
      <c r="A26" s="6" t="s">
        <v>783</v>
      </c>
      <c r="B26" s="152">
        <f>(Assumptions!$B$63+Assumptions!$B$64+Assumptions!$B$65)/Assumptions!$B$28</f>
        <v>5.6</v>
      </c>
      <c r="C26" s="152">
        <f>B26</f>
        <v>5.6</v>
      </c>
      <c r="D26" s="152">
        <f>B26</f>
        <v>5.6</v>
      </c>
      <c r="E26" s="152">
        <f>B26</f>
        <v>5.6</v>
      </c>
      <c r="F26" s="6" t="s">
        <v>784</v>
      </c>
    </row>
    <row r="27" spans="1:6" x14ac:dyDescent="0.2">
      <c r="A27" s="7" t="s">
        <v>785</v>
      </c>
      <c r="B27" s="154">
        <f>SUM(B21:B26)</f>
        <v>10.809999999999999</v>
      </c>
      <c r="C27" s="154">
        <f>SUM(C21:C26)</f>
        <v>13.967499999999999</v>
      </c>
      <c r="D27" s="154">
        <f>SUM(D21:D26)</f>
        <v>24.177500000000002</v>
      </c>
      <c r="E27" s="154">
        <f>SUM(E21:E26)</f>
        <v>14.588625</v>
      </c>
    </row>
    <row r="29" spans="1:6" x14ac:dyDescent="0.2">
      <c r="A29" s="38" t="s">
        <v>786</v>
      </c>
      <c r="B29" s="2"/>
      <c r="C29" s="2"/>
      <c r="D29" s="2"/>
      <c r="E29" s="2"/>
      <c r="F29" s="2"/>
    </row>
    <row r="30" spans="1:6" x14ac:dyDescent="0.2">
      <c r="A30" s="8" t="s">
        <v>154</v>
      </c>
      <c r="B30" s="9" t="s">
        <v>762</v>
      </c>
      <c r="C30" s="9" t="s">
        <v>763</v>
      </c>
      <c r="D30" s="9" t="s">
        <v>764</v>
      </c>
      <c r="E30" s="9" t="s">
        <v>765</v>
      </c>
    </row>
    <row r="31" spans="1:6" x14ac:dyDescent="0.2">
      <c r="A31" s="6" t="s">
        <v>787</v>
      </c>
      <c r="B31" s="152">
        <f>B17</f>
        <v>20</v>
      </c>
      <c r="C31" s="152">
        <f>C17</f>
        <v>35</v>
      </c>
      <c r="D31" s="152">
        <f>D17</f>
        <v>55</v>
      </c>
      <c r="E31" s="152">
        <f>E17</f>
        <v>32.25</v>
      </c>
    </row>
    <row r="32" spans="1:6" x14ac:dyDescent="0.2">
      <c r="A32" s="6" t="s">
        <v>788</v>
      </c>
      <c r="B32" s="155">
        <f>-B27</f>
        <v>-10.809999999999999</v>
      </c>
      <c r="C32" s="155">
        <f>-C27</f>
        <v>-13.967499999999999</v>
      </c>
      <c r="D32" s="155">
        <f>-D27</f>
        <v>-24.177500000000002</v>
      </c>
      <c r="E32" s="155">
        <f>-E27</f>
        <v>-14.588625</v>
      </c>
    </row>
    <row r="33" spans="1:6" x14ac:dyDescent="0.2">
      <c r="A33" s="7" t="s">
        <v>789</v>
      </c>
      <c r="B33" s="154">
        <f>B31+B32</f>
        <v>9.1900000000000013</v>
      </c>
      <c r="C33" s="154">
        <f>C31+C32</f>
        <v>21.032499999999999</v>
      </c>
      <c r="D33" s="154">
        <f>D31+D32</f>
        <v>30.822499999999998</v>
      </c>
      <c r="E33" s="154">
        <f>E31+E32</f>
        <v>17.661375</v>
      </c>
    </row>
    <row r="34" spans="1:6" x14ac:dyDescent="0.2">
      <c r="A34" s="6" t="s">
        <v>790</v>
      </c>
      <c r="B34" s="24">
        <f>B33/B31</f>
        <v>0.45950000000000008</v>
      </c>
      <c r="C34" s="24">
        <f>C33/C31</f>
        <v>0.60092857142857137</v>
      </c>
      <c r="D34" s="24">
        <f>D33/D31</f>
        <v>0.56040909090909086</v>
      </c>
      <c r="E34" s="24">
        <f>E33/E31</f>
        <v>0.54763953488372097</v>
      </c>
    </row>
    <row r="37" spans="1:6" x14ac:dyDescent="0.2">
      <c r="A37" s="38" t="s">
        <v>791</v>
      </c>
      <c r="B37" s="2"/>
      <c r="C37" s="2"/>
      <c r="D37" s="2"/>
      <c r="E37" s="2"/>
      <c r="F37" s="2"/>
    </row>
    <row r="38" spans="1:6" x14ac:dyDescent="0.2">
      <c r="A38" s="8" t="s">
        <v>154</v>
      </c>
      <c r="B38" s="9" t="s">
        <v>367</v>
      </c>
      <c r="C38" s="9" t="s">
        <v>368</v>
      </c>
      <c r="D38" s="8" t="s">
        <v>369</v>
      </c>
    </row>
    <row r="39" spans="1:6" x14ac:dyDescent="0.2">
      <c r="A39" s="6" t="s">
        <v>792</v>
      </c>
      <c r="B39" s="138">
        <f>1-Assumptions!B40</f>
        <v>0.75</v>
      </c>
      <c r="C39" s="14" t="s">
        <v>389</v>
      </c>
      <c r="D39" s="6" t="s">
        <v>793</v>
      </c>
    </row>
    <row r="40" spans="1:6" x14ac:dyDescent="0.2">
      <c r="A40" s="6" t="s">
        <v>794</v>
      </c>
      <c r="B40" s="138">
        <f>1-Assumptions!B41</f>
        <v>0.88</v>
      </c>
      <c r="C40" s="14" t="s">
        <v>389</v>
      </c>
      <c r="D40" s="6" t="s">
        <v>795</v>
      </c>
    </row>
    <row r="41" spans="1:6" x14ac:dyDescent="0.2">
      <c r="A41" s="6" t="s">
        <v>796</v>
      </c>
      <c r="B41" s="156">
        <f>Assumptions!B42</f>
        <v>0.04</v>
      </c>
      <c r="C41" s="14" t="s">
        <v>797</v>
      </c>
      <c r="D41" s="6" t="s">
        <v>798</v>
      </c>
    </row>
    <row r="42" spans="1:6" x14ac:dyDescent="0.2">
      <c r="A42" s="6" t="s">
        <v>799</v>
      </c>
      <c r="B42" s="156">
        <f>Assumptions!B43</f>
        <v>0.02</v>
      </c>
      <c r="C42" s="14" t="s">
        <v>797</v>
      </c>
      <c r="D42" s="6" t="s">
        <v>800</v>
      </c>
    </row>
    <row r="43" spans="1:6" x14ac:dyDescent="0.2">
      <c r="A43" s="7" t="s">
        <v>801</v>
      </c>
      <c r="B43" s="18">
        <f>B39*B40*(1+ (1-B41)*4/(1) + (1-B42)*(1/B42))</f>
        <v>35.534400000000005</v>
      </c>
      <c r="C43" s="14" t="s">
        <v>802</v>
      </c>
      <c r="D43" s="6" t="s">
        <v>803</v>
      </c>
    </row>
    <row r="44" spans="1:6" x14ac:dyDescent="0.2">
      <c r="A44" s="6" t="s">
        <v>804</v>
      </c>
      <c r="B44" s="153">
        <f>E33</f>
        <v>17.661375</v>
      </c>
      <c r="C44" s="14" t="s">
        <v>406</v>
      </c>
      <c r="D44" s="6" t="s">
        <v>805</v>
      </c>
    </row>
    <row r="45" spans="1:6" x14ac:dyDescent="0.2">
      <c r="A45" s="7" t="s">
        <v>806</v>
      </c>
      <c r="B45" s="13">
        <f>B43*B44</f>
        <v>627.58636380000007</v>
      </c>
      <c r="C45" s="14" t="s">
        <v>377</v>
      </c>
      <c r="D45" s="6" t="s">
        <v>807</v>
      </c>
    </row>
    <row r="46" spans="1:6" x14ac:dyDescent="0.2">
      <c r="A46" s="7" t="s">
        <v>808</v>
      </c>
      <c r="B46" s="13">
        <f>B45*Assumptions!B15</f>
        <v>884.89677295800004</v>
      </c>
      <c r="C46" s="14" t="s">
        <v>809</v>
      </c>
    </row>
    <row r="49" spans="1:6" x14ac:dyDescent="0.2">
      <c r="A49" s="38" t="s">
        <v>810</v>
      </c>
      <c r="B49" s="2"/>
      <c r="C49" s="2"/>
      <c r="D49" s="2"/>
      <c r="E49" s="2"/>
      <c r="F49" s="2"/>
    </row>
    <row r="50" spans="1:6" x14ac:dyDescent="0.2">
      <c r="A50" s="8" t="s">
        <v>154</v>
      </c>
      <c r="B50" s="9" t="s">
        <v>367</v>
      </c>
      <c r="C50" s="9" t="s">
        <v>368</v>
      </c>
      <c r="D50" s="8" t="s">
        <v>369</v>
      </c>
    </row>
    <row r="51" spans="1:6" x14ac:dyDescent="0.2">
      <c r="A51" s="6" t="s">
        <v>811</v>
      </c>
      <c r="B51" s="137">
        <f>Assumptions!B68</f>
        <v>30</v>
      </c>
      <c r="C51" s="14" t="s">
        <v>377</v>
      </c>
      <c r="D51" s="6" t="s">
        <v>812</v>
      </c>
    </row>
    <row r="52" spans="1:6" x14ac:dyDescent="0.2">
      <c r="A52" s="6" t="s">
        <v>813</v>
      </c>
      <c r="B52" s="137">
        <f>Assumptions!B67</f>
        <v>15</v>
      </c>
      <c r="C52" s="14" t="s">
        <v>377</v>
      </c>
      <c r="D52" s="6" t="s">
        <v>814</v>
      </c>
    </row>
    <row r="53" spans="1:6" x14ac:dyDescent="0.2">
      <c r="A53" s="7" t="s">
        <v>815</v>
      </c>
      <c r="B53" s="12">
        <f>B51+B52</f>
        <v>45</v>
      </c>
      <c r="C53" s="14" t="s">
        <v>377</v>
      </c>
      <c r="D53" s="6" t="s">
        <v>816</v>
      </c>
    </row>
    <row r="54" spans="1:6" x14ac:dyDescent="0.2">
      <c r="A54" s="7" t="s">
        <v>817</v>
      </c>
      <c r="B54" s="17">
        <f>B45/B53</f>
        <v>13.946363640000001</v>
      </c>
      <c r="C54" s="14" t="s">
        <v>818</v>
      </c>
      <c r="D54" s="6" t="s">
        <v>819</v>
      </c>
    </row>
    <row r="55" spans="1:6" x14ac:dyDescent="0.2">
      <c r="A55" s="7" t="s">
        <v>820</v>
      </c>
      <c r="B55" s="18">
        <f>B53/B44</f>
        <v>2.5479329893623799</v>
      </c>
      <c r="C55" s="14" t="s">
        <v>802</v>
      </c>
      <c r="D55" s="6" t="s">
        <v>821</v>
      </c>
    </row>
    <row r="58" spans="1:6" x14ac:dyDescent="0.2">
      <c r="A58" s="38" t="s">
        <v>822</v>
      </c>
      <c r="B58" s="2"/>
      <c r="C58" s="2"/>
      <c r="D58" s="2"/>
      <c r="E58" s="2"/>
      <c r="F58" s="2"/>
    </row>
    <row r="59" spans="1:6" x14ac:dyDescent="0.2">
      <c r="A59" s="8" t="s">
        <v>823</v>
      </c>
      <c r="B59" s="9" t="s">
        <v>367</v>
      </c>
      <c r="C59" s="9" t="s">
        <v>824</v>
      </c>
      <c r="D59" s="9" t="s">
        <v>825</v>
      </c>
    </row>
    <row r="60" spans="1:6" x14ac:dyDescent="0.2">
      <c r="A60" s="6" t="s">
        <v>817</v>
      </c>
      <c r="B60" s="22">
        <f>B54</f>
        <v>13.946363640000001</v>
      </c>
      <c r="C60" s="14" t="s">
        <v>826</v>
      </c>
      <c r="D60" s="31" t="s">
        <v>827</v>
      </c>
    </row>
    <row r="61" spans="1:6" x14ac:dyDescent="0.2">
      <c r="A61" s="6" t="s">
        <v>820</v>
      </c>
      <c r="B61" s="23">
        <f>B55</f>
        <v>2.5479329893623799</v>
      </c>
      <c r="C61" s="14" t="s">
        <v>828</v>
      </c>
      <c r="D61" s="31" t="s">
        <v>829</v>
      </c>
    </row>
    <row r="62" spans="1:6" x14ac:dyDescent="0.2">
      <c r="A62" s="6" t="s">
        <v>790</v>
      </c>
      <c r="B62" s="24">
        <f>E34</f>
        <v>0.54763953488372097</v>
      </c>
      <c r="C62" s="14" t="s">
        <v>830</v>
      </c>
      <c r="D62" s="31" t="s">
        <v>829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O68"/>
  <sheetViews>
    <sheetView zoomScale="86" workbookViewId="0">
      <selection activeCell="C69" sqref="C69"/>
    </sheetView>
  </sheetViews>
  <sheetFormatPr baseColWidth="10" defaultRowHeight="16" x14ac:dyDescent="0.2"/>
  <cols>
    <col min="1" max="1" width="41.6640625" customWidth="1"/>
    <col min="2" max="3" width="15" customWidth="1"/>
    <col min="4" max="4" width="35.5" bestFit="1" customWidth="1"/>
    <col min="5" max="15" width="15" customWidth="1"/>
  </cols>
  <sheetData>
    <row r="1" spans="1:15" ht="19" customHeight="1" x14ac:dyDescent="0.25">
      <c r="A1" s="37" t="s">
        <v>831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38" t="s">
        <v>832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x14ac:dyDescent="0.2">
      <c r="A4" s="8" t="s">
        <v>43</v>
      </c>
      <c r="B4" s="9" t="s">
        <v>833</v>
      </c>
      <c r="C4" s="9" t="s">
        <v>374</v>
      </c>
      <c r="D4" s="9" t="s">
        <v>702</v>
      </c>
      <c r="E4" s="9" t="s">
        <v>703</v>
      </c>
      <c r="F4" s="9" t="s">
        <v>704</v>
      </c>
      <c r="G4" s="9" t="s">
        <v>705</v>
      </c>
      <c r="H4" s="9" t="s">
        <v>155</v>
      </c>
      <c r="I4" s="9" t="s">
        <v>706</v>
      </c>
      <c r="J4" s="9" t="s">
        <v>707</v>
      </c>
      <c r="K4" s="9" t="s">
        <v>156</v>
      </c>
      <c r="L4" s="9" t="s">
        <v>708</v>
      </c>
      <c r="M4" s="9" t="s">
        <v>709</v>
      </c>
      <c r="N4" s="9" t="s">
        <v>157</v>
      </c>
      <c r="O4" s="9" t="s">
        <v>240</v>
      </c>
    </row>
    <row r="5" spans="1:15" x14ac:dyDescent="0.2">
      <c r="A5" s="25" t="s">
        <v>834</v>
      </c>
    </row>
    <row r="6" spans="1:15" x14ac:dyDescent="0.2">
      <c r="A6" s="6" t="s">
        <v>835</v>
      </c>
      <c r="B6" s="19">
        <f>Assumptions!B109</f>
        <v>190000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36">
        <f>SUM(B6:N6)</f>
        <v>190000</v>
      </c>
    </row>
    <row r="7" spans="1:15" x14ac:dyDescent="0.2">
      <c r="A7" s="6" t="s">
        <v>836</v>
      </c>
      <c r="B7" s="19">
        <v>0</v>
      </c>
      <c r="C7" s="139">
        <f>'Monthly P&amp;L'!C23</f>
        <v>0</v>
      </c>
      <c r="D7" s="139">
        <f>'Monthly P&amp;L'!D23</f>
        <v>1880</v>
      </c>
      <c r="E7" s="139">
        <f>'Monthly P&amp;L'!E23</f>
        <v>5851.25</v>
      </c>
      <c r="F7" s="139">
        <f>'Monthly P&amp;L'!F23</f>
        <v>7151.25</v>
      </c>
      <c r="G7" s="139">
        <f>'Monthly P&amp;L'!G23</f>
        <v>8511.25</v>
      </c>
      <c r="H7" s="139">
        <f>'Monthly P&amp;L'!H23</f>
        <v>10030.25</v>
      </c>
      <c r="I7" s="139">
        <f>'Monthly P&amp;L'!I23</f>
        <v>11772.75</v>
      </c>
      <c r="J7" s="139">
        <f>'Monthly P&amp;L'!J23</f>
        <v>13857.75</v>
      </c>
      <c r="K7" s="139">
        <f>'Monthly P&amp;L'!K23</f>
        <v>16317.5</v>
      </c>
      <c r="L7" s="139">
        <f>'Monthly P&amp;L'!L23</f>
        <v>19204.25</v>
      </c>
      <c r="M7" s="139">
        <f>'Monthly P&amp;L'!M23</f>
        <v>22637</v>
      </c>
      <c r="N7" s="139">
        <f>'Monthly P&amp;L'!N23</f>
        <v>26668</v>
      </c>
      <c r="O7" s="136">
        <f>SUM(B7:N7)</f>
        <v>143881.25</v>
      </c>
    </row>
    <row r="8" spans="1:15" x14ac:dyDescent="0.2">
      <c r="A8" s="7" t="s">
        <v>837</v>
      </c>
      <c r="B8" s="136">
        <f t="shared" ref="B8:N8" si="0">B6+B7</f>
        <v>190000</v>
      </c>
      <c r="C8" s="136">
        <f t="shared" si="0"/>
        <v>0</v>
      </c>
      <c r="D8" s="136">
        <f t="shared" si="0"/>
        <v>1880</v>
      </c>
      <c r="E8" s="136">
        <f t="shared" si="0"/>
        <v>5851.25</v>
      </c>
      <c r="F8" s="136">
        <f t="shared" si="0"/>
        <v>7151.25</v>
      </c>
      <c r="G8" s="136">
        <f t="shared" si="0"/>
        <v>8511.25</v>
      </c>
      <c r="H8" s="136">
        <f t="shared" si="0"/>
        <v>10030.25</v>
      </c>
      <c r="I8" s="136">
        <f t="shared" si="0"/>
        <v>11772.75</v>
      </c>
      <c r="J8" s="136">
        <f t="shared" si="0"/>
        <v>13857.75</v>
      </c>
      <c r="K8" s="136">
        <f t="shared" si="0"/>
        <v>16317.5</v>
      </c>
      <c r="L8" s="136">
        <f t="shared" si="0"/>
        <v>19204.25</v>
      </c>
      <c r="M8" s="136">
        <f t="shared" si="0"/>
        <v>22637</v>
      </c>
      <c r="N8" s="136">
        <f t="shared" si="0"/>
        <v>26668</v>
      </c>
      <c r="O8" s="136">
        <f>SUM(B8:N8)</f>
        <v>333881.25</v>
      </c>
    </row>
    <row r="10" spans="1:15" x14ac:dyDescent="0.2">
      <c r="A10" s="25" t="s">
        <v>838</v>
      </c>
    </row>
    <row r="11" spans="1:15" x14ac:dyDescent="0.2">
      <c r="A11" s="6" t="s">
        <v>839</v>
      </c>
      <c r="B11" s="19">
        <f>Assumptions!B102</f>
        <v>35000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36">
        <f>SUM(B11:N11)</f>
        <v>35000</v>
      </c>
    </row>
    <row r="12" spans="1:15" x14ac:dyDescent="0.2">
      <c r="A12" s="6" t="s">
        <v>840</v>
      </c>
      <c r="B12" s="19">
        <f>Assumptions!B103</f>
        <v>100000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36">
        <f>SUM(B12:N12)</f>
        <v>100000</v>
      </c>
    </row>
    <row r="13" spans="1:15" x14ac:dyDescent="0.2">
      <c r="A13" s="6" t="s">
        <v>841</v>
      </c>
      <c r="B13" s="19" t="str">
        <f>Assumptions!B104</f>
        <v>25000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36">
        <f>SUM(B13:N13)</f>
        <v>0</v>
      </c>
    </row>
    <row r="14" spans="1:15" x14ac:dyDescent="0.2">
      <c r="A14" s="6" t="s">
        <v>842</v>
      </c>
      <c r="B14" s="19">
        <f>Assumptions!B105</f>
        <v>5000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36">
        <f>SUM(B14:N14)</f>
        <v>5000</v>
      </c>
    </row>
    <row r="15" spans="1:15" x14ac:dyDescent="0.2">
      <c r="A15" s="6" t="s">
        <v>843</v>
      </c>
      <c r="B15" s="19">
        <f>Assumptions!B106</f>
        <v>10000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36">
        <f>SUM(B15:N15)</f>
        <v>10000</v>
      </c>
    </row>
    <row r="17" spans="1:15" x14ac:dyDescent="0.2">
      <c r="A17" s="6" t="s">
        <v>844</v>
      </c>
      <c r="B17" s="19">
        <v>0</v>
      </c>
      <c r="C17" s="139">
        <f>'Monthly P&amp;L'!C32</f>
        <v>7312.5</v>
      </c>
      <c r="D17" s="139">
        <f>'Monthly P&amp;L'!D32</f>
        <v>4733.3392063488191</v>
      </c>
      <c r="E17" s="139">
        <f>'Monthly P&amp;L'!E32</f>
        <v>5207.5644941415203</v>
      </c>
      <c r="F17" s="139">
        <f>'Monthly P&amp;L'!F32</f>
        <v>5980.040428175249</v>
      </c>
      <c r="G17" s="139">
        <f>'Monthly P&amp;L'!G32</f>
        <v>6958.6110977352046</v>
      </c>
      <c r="H17" s="139">
        <f>'Monthly P&amp;L'!H32</f>
        <v>8100.1537233883309</v>
      </c>
      <c r="I17" s="139">
        <f>'Monthly P&amp;L'!I32</f>
        <v>9428.3370290601069</v>
      </c>
      <c r="J17" s="139">
        <f>'Monthly P&amp;L'!J32</f>
        <v>10979.091021453563</v>
      </c>
      <c r="K17" s="139">
        <f>'Monthly P&amp;L'!K32</f>
        <v>12816.866071177201</v>
      </c>
      <c r="L17" s="139">
        <f>'Monthly P&amp;L'!L32</f>
        <v>14948.998432235236</v>
      </c>
      <c r="M17" s="139">
        <f>'Monthly P&amp;L'!M32</f>
        <v>17463.944915889959</v>
      </c>
      <c r="N17" s="139">
        <f>'Monthly P&amp;L'!N32</f>
        <v>20421.956492943602</v>
      </c>
      <c r="O17" s="136">
        <f>SUM(B17:N17)</f>
        <v>124351.4029125488</v>
      </c>
    </row>
    <row r="18" spans="1:15" x14ac:dyDescent="0.2">
      <c r="A18" s="6" t="s">
        <v>845</v>
      </c>
      <c r="B18" s="19">
        <v>0</v>
      </c>
      <c r="C18" s="139">
        <f>'Monthly P&amp;L'!C45</f>
        <v>35630.833333333336</v>
      </c>
      <c r="D18" s="139">
        <f>'Monthly P&amp;L'!D45</f>
        <v>27425.526666666668</v>
      </c>
      <c r="E18" s="139">
        <f>'Monthly P&amp;L'!E45</f>
        <v>27695.166666666668</v>
      </c>
      <c r="F18" s="139">
        <f>'Monthly P&amp;L'!F45</f>
        <v>28305.066666666669</v>
      </c>
      <c r="G18" s="139">
        <f>'Monthly P&amp;L'!G45</f>
        <v>29963.26666666667</v>
      </c>
      <c r="H18" s="139">
        <f>'Monthly P&amp;L'!H45</f>
        <v>30992.866666666669</v>
      </c>
      <c r="I18" s="139">
        <f>'Monthly P&amp;L'!I45</f>
        <v>32200.666666666672</v>
      </c>
      <c r="J18" s="139">
        <f>'Monthly P&amp;L'!J45</f>
        <v>33606.466666666667</v>
      </c>
      <c r="K18" s="139">
        <f>'Monthly P&amp;L'!K45</f>
        <v>35296.066666666666</v>
      </c>
      <c r="L18" s="139">
        <f>'Monthly P&amp;L'!L45</f>
        <v>37249.666666666672</v>
      </c>
      <c r="M18" s="139">
        <f>'Monthly P&amp;L'!M45</f>
        <v>39566.26666666667</v>
      </c>
      <c r="N18" s="139">
        <f>'Monthly P&amp;L'!N45</f>
        <v>42305.26666666667</v>
      </c>
      <c r="O18" s="136">
        <f>SUM(B18:N18)</f>
        <v>400237.12666666671</v>
      </c>
    </row>
    <row r="19" spans="1:15" x14ac:dyDescent="0.2">
      <c r="A19" s="7" t="s">
        <v>846</v>
      </c>
      <c r="B19" s="136">
        <f t="shared" ref="B19:N19" si="1">SUM(B11:B18)</f>
        <v>150000</v>
      </c>
      <c r="C19" s="136">
        <f t="shared" si="1"/>
        <v>42943.333333333336</v>
      </c>
      <c r="D19" s="136">
        <f t="shared" si="1"/>
        <v>32158.865873015486</v>
      </c>
      <c r="E19" s="136">
        <f t="shared" si="1"/>
        <v>32902.731160808187</v>
      </c>
      <c r="F19" s="136">
        <f t="shared" si="1"/>
        <v>34285.107094841922</v>
      </c>
      <c r="G19" s="136">
        <f t="shared" si="1"/>
        <v>36921.877764401877</v>
      </c>
      <c r="H19" s="136">
        <f t="shared" si="1"/>
        <v>39093.020390054997</v>
      </c>
      <c r="I19" s="136">
        <f t="shared" si="1"/>
        <v>41629.00369572678</v>
      </c>
      <c r="J19" s="136">
        <f t="shared" si="1"/>
        <v>44585.557688120229</v>
      </c>
      <c r="K19" s="136">
        <f t="shared" si="1"/>
        <v>48112.932737843868</v>
      </c>
      <c r="L19" s="136">
        <f t="shared" si="1"/>
        <v>52198.665098901911</v>
      </c>
      <c r="M19" s="136">
        <f t="shared" si="1"/>
        <v>57030.211582556629</v>
      </c>
      <c r="N19" s="136">
        <f t="shared" si="1"/>
        <v>62727.223159610272</v>
      </c>
      <c r="O19" s="136">
        <f>SUM(B19:N19)</f>
        <v>674588.52957921557</v>
      </c>
    </row>
    <row r="21" spans="1:15" x14ac:dyDescent="0.2">
      <c r="A21" s="7" t="s">
        <v>847</v>
      </c>
      <c r="B21" s="157">
        <f t="shared" ref="B21:N21" si="2">B8-B19</f>
        <v>40000</v>
      </c>
      <c r="C21" s="157">
        <f t="shared" si="2"/>
        <v>-42943.333333333336</v>
      </c>
      <c r="D21" s="157">
        <f t="shared" si="2"/>
        <v>-30278.865873015486</v>
      </c>
      <c r="E21" s="157">
        <f t="shared" si="2"/>
        <v>-27051.481160808187</v>
      </c>
      <c r="F21" s="157">
        <f t="shared" si="2"/>
        <v>-27133.857094841922</v>
      </c>
      <c r="G21" s="157">
        <f t="shared" si="2"/>
        <v>-28410.627764401877</v>
      </c>
      <c r="H21" s="157">
        <f t="shared" si="2"/>
        <v>-29062.770390054997</v>
      </c>
      <c r="I21" s="157">
        <f t="shared" si="2"/>
        <v>-29856.25369572678</v>
      </c>
      <c r="J21" s="157">
        <f t="shared" si="2"/>
        <v>-30727.807688120229</v>
      </c>
      <c r="K21" s="157">
        <f t="shared" si="2"/>
        <v>-31795.432737843868</v>
      </c>
      <c r="L21" s="157">
        <f t="shared" si="2"/>
        <v>-32994.415098901911</v>
      </c>
      <c r="M21" s="157">
        <f t="shared" si="2"/>
        <v>-34393.211582556629</v>
      </c>
      <c r="N21" s="157">
        <f t="shared" si="2"/>
        <v>-36059.223159610272</v>
      </c>
      <c r="O21" s="157">
        <f>SUM(B21:N21)</f>
        <v>-340707.27957921545</v>
      </c>
    </row>
    <row r="23" spans="1:15" x14ac:dyDescent="0.2">
      <c r="A23" s="7" t="s">
        <v>848</v>
      </c>
      <c r="B23" s="19">
        <v>0</v>
      </c>
      <c r="C23" s="151">
        <f t="shared" ref="C23:N23" si="3">B25</f>
        <v>40000</v>
      </c>
      <c r="D23" s="151">
        <f t="shared" si="3"/>
        <v>-2943.3333333333358</v>
      </c>
      <c r="E23" s="151">
        <f t="shared" si="3"/>
        <v>-33222.199206348821</v>
      </c>
      <c r="F23" s="151">
        <f t="shared" si="3"/>
        <v>-60273.680367157009</v>
      </c>
      <c r="G23" s="151">
        <f t="shared" si="3"/>
        <v>-87407.537461998931</v>
      </c>
      <c r="H23" s="151">
        <f t="shared" si="3"/>
        <v>-115818.1652264008</v>
      </c>
      <c r="I23" s="151">
        <f t="shared" si="3"/>
        <v>-144880.9356164558</v>
      </c>
      <c r="J23" s="151">
        <f t="shared" si="3"/>
        <v>-174737.18931218257</v>
      </c>
      <c r="K23" s="151">
        <f t="shared" si="3"/>
        <v>-205464.9970003028</v>
      </c>
      <c r="L23" s="151">
        <f t="shared" si="3"/>
        <v>-237260.42973814666</v>
      </c>
      <c r="M23" s="151">
        <f t="shared" si="3"/>
        <v>-270254.84483704856</v>
      </c>
      <c r="N23" s="151">
        <f t="shared" si="3"/>
        <v>-304648.05641960516</v>
      </c>
    </row>
    <row r="24" spans="1:15" x14ac:dyDescent="0.2">
      <c r="A24" s="6" t="s">
        <v>849</v>
      </c>
      <c r="B24" s="151">
        <f t="shared" ref="B24:N24" si="4">B21</f>
        <v>40000</v>
      </c>
      <c r="C24" s="151">
        <f t="shared" si="4"/>
        <v>-42943.333333333336</v>
      </c>
      <c r="D24" s="151">
        <f t="shared" si="4"/>
        <v>-30278.865873015486</v>
      </c>
      <c r="E24" s="151">
        <f t="shared" si="4"/>
        <v>-27051.481160808187</v>
      </c>
      <c r="F24" s="151">
        <f t="shared" si="4"/>
        <v>-27133.857094841922</v>
      </c>
      <c r="G24" s="151">
        <f t="shared" si="4"/>
        <v>-28410.627764401877</v>
      </c>
      <c r="H24" s="151">
        <f t="shared" si="4"/>
        <v>-29062.770390054997</v>
      </c>
      <c r="I24" s="151">
        <f t="shared" si="4"/>
        <v>-29856.25369572678</v>
      </c>
      <c r="J24" s="151">
        <f t="shared" si="4"/>
        <v>-30727.807688120229</v>
      </c>
      <c r="K24" s="151">
        <f t="shared" si="4"/>
        <v>-31795.432737843868</v>
      </c>
      <c r="L24" s="151">
        <f t="shared" si="4"/>
        <v>-32994.415098901911</v>
      </c>
      <c r="M24" s="151">
        <f t="shared" si="4"/>
        <v>-34393.211582556629</v>
      </c>
      <c r="N24" s="151">
        <f t="shared" si="4"/>
        <v>-36059.223159610272</v>
      </c>
    </row>
    <row r="25" spans="1:15" x14ac:dyDescent="0.2">
      <c r="A25" s="7" t="s">
        <v>850</v>
      </c>
      <c r="B25" s="157">
        <f t="shared" ref="B25:N25" si="5">B23+B24</f>
        <v>40000</v>
      </c>
      <c r="C25" s="157">
        <f t="shared" si="5"/>
        <v>-2943.3333333333358</v>
      </c>
      <c r="D25" s="157">
        <f t="shared" si="5"/>
        <v>-33222.199206348821</v>
      </c>
      <c r="E25" s="157">
        <f t="shared" si="5"/>
        <v>-60273.680367157009</v>
      </c>
      <c r="F25" s="157">
        <f t="shared" si="5"/>
        <v>-87407.537461998931</v>
      </c>
      <c r="G25" s="157">
        <f t="shared" si="5"/>
        <v>-115818.1652264008</v>
      </c>
      <c r="H25" s="157">
        <f t="shared" si="5"/>
        <v>-144880.9356164558</v>
      </c>
      <c r="I25" s="157">
        <f t="shared" si="5"/>
        <v>-174737.18931218257</v>
      </c>
      <c r="J25" s="157">
        <f t="shared" si="5"/>
        <v>-205464.9970003028</v>
      </c>
      <c r="K25" s="157">
        <f t="shared" si="5"/>
        <v>-237260.42973814666</v>
      </c>
      <c r="L25" s="157">
        <f t="shared" si="5"/>
        <v>-270254.84483704856</v>
      </c>
      <c r="M25" s="157">
        <f t="shared" si="5"/>
        <v>-304648.05641960516</v>
      </c>
      <c r="N25" s="157">
        <f t="shared" si="5"/>
        <v>-340707.27957921545</v>
      </c>
      <c r="O25" s="157">
        <f>N25</f>
        <v>-340707.27957921545</v>
      </c>
    </row>
    <row r="27" spans="1:15" x14ac:dyDescent="0.2">
      <c r="A27" s="25" t="s">
        <v>851</v>
      </c>
    </row>
    <row r="28" spans="1:15" x14ac:dyDescent="0.2">
      <c r="A28" s="6" t="s">
        <v>852</v>
      </c>
      <c r="B28" s="151">
        <f t="shared" ref="B28:N28" si="6">B21</f>
        <v>40000</v>
      </c>
      <c r="C28" s="151">
        <f t="shared" si="6"/>
        <v>-42943.333333333336</v>
      </c>
      <c r="D28" s="151">
        <f t="shared" si="6"/>
        <v>-30278.865873015486</v>
      </c>
      <c r="E28" s="151">
        <f t="shared" si="6"/>
        <v>-27051.481160808187</v>
      </c>
      <c r="F28" s="151">
        <f t="shared" si="6"/>
        <v>-27133.857094841922</v>
      </c>
      <c r="G28" s="151">
        <f t="shared" si="6"/>
        <v>-28410.627764401877</v>
      </c>
      <c r="H28" s="151">
        <f t="shared" si="6"/>
        <v>-29062.770390054997</v>
      </c>
      <c r="I28" s="151">
        <f t="shared" si="6"/>
        <v>-29856.25369572678</v>
      </c>
      <c r="J28" s="151">
        <f t="shared" si="6"/>
        <v>-30727.807688120229</v>
      </c>
      <c r="K28" s="151">
        <f t="shared" si="6"/>
        <v>-31795.432737843868</v>
      </c>
      <c r="L28" s="151">
        <f t="shared" si="6"/>
        <v>-32994.415098901911</v>
      </c>
      <c r="M28" s="151">
        <f t="shared" si="6"/>
        <v>-34393.211582556629</v>
      </c>
      <c r="N28" s="151">
        <f t="shared" si="6"/>
        <v>-36059.223159610272</v>
      </c>
      <c r="O28" s="157">
        <f>N25</f>
        <v>-340707.27957921545</v>
      </c>
    </row>
    <row r="29" spans="1:15" x14ac:dyDescent="0.2">
      <c r="A29" s="6" t="s">
        <v>853</v>
      </c>
      <c r="B29" s="151">
        <f>B28</f>
        <v>40000</v>
      </c>
      <c r="C29" s="151">
        <f t="shared" ref="C29:N29" si="7">B29+C28</f>
        <v>-2943.3333333333358</v>
      </c>
      <c r="D29" s="151">
        <f t="shared" si="7"/>
        <v>-33222.199206348821</v>
      </c>
      <c r="E29" s="151">
        <f t="shared" si="7"/>
        <v>-60273.680367157009</v>
      </c>
      <c r="F29" s="151">
        <f t="shared" si="7"/>
        <v>-87407.537461998931</v>
      </c>
      <c r="G29" s="151">
        <f t="shared" si="7"/>
        <v>-115818.1652264008</v>
      </c>
      <c r="H29" s="151">
        <f t="shared" si="7"/>
        <v>-144880.9356164558</v>
      </c>
      <c r="I29" s="151">
        <f t="shared" si="7"/>
        <v>-174737.18931218257</v>
      </c>
      <c r="J29" s="151">
        <f t="shared" si="7"/>
        <v>-205464.9970003028</v>
      </c>
      <c r="K29" s="151">
        <f t="shared" si="7"/>
        <v>-237260.42973814666</v>
      </c>
      <c r="L29" s="151">
        <f t="shared" si="7"/>
        <v>-270254.84483704856</v>
      </c>
      <c r="M29" s="151">
        <f t="shared" si="7"/>
        <v>-304648.05641960516</v>
      </c>
      <c r="N29" s="151">
        <f t="shared" si="7"/>
        <v>-340707.27957921545</v>
      </c>
      <c r="O29" s="151">
        <f>N29</f>
        <v>-340707.27957921545</v>
      </c>
    </row>
    <row r="30" spans="1:15" x14ac:dyDescent="0.2">
      <c r="A30" s="6" t="s">
        <v>854</v>
      </c>
      <c r="B30" s="14" t="str">
        <f t="shared" ref="B30:N30" si="8">IF(B28&gt;=0,"N/A",IF(B25&lt;=0,0,ROUND(-B25/B28,1)))</f>
        <v>N/A</v>
      </c>
      <c r="C30" s="14">
        <f t="shared" si="8"/>
        <v>0</v>
      </c>
      <c r="D30" s="14">
        <f t="shared" si="8"/>
        <v>0</v>
      </c>
      <c r="E30" s="14">
        <f t="shared" si="8"/>
        <v>0</v>
      </c>
      <c r="F30" s="14">
        <f t="shared" si="8"/>
        <v>0</v>
      </c>
      <c r="G30" s="14">
        <f t="shared" si="8"/>
        <v>0</v>
      </c>
      <c r="H30" s="14">
        <f t="shared" si="8"/>
        <v>0</v>
      </c>
      <c r="I30" s="14">
        <f t="shared" si="8"/>
        <v>0</v>
      </c>
      <c r="J30" s="14">
        <f t="shared" si="8"/>
        <v>0</v>
      </c>
      <c r="K30" s="14">
        <f t="shared" si="8"/>
        <v>0</v>
      </c>
      <c r="L30" s="14">
        <f t="shared" si="8"/>
        <v>0</v>
      </c>
      <c r="M30" s="14">
        <f t="shared" si="8"/>
        <v>0</v>
      </c>
      <c r="N30" s="14">
        <f t="shared" si="8"/>
        <v>0</v>
      </c>
    </row>
    <row r="32" spans="1:15" ht="18" customHeight="1" x14ac:dyDescent="0.25">
      <c r="A32" s="29" t="s">
        <v>855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7" x14ac:dyDescent="0.2">
      <c r="A33" s="8" t="s">
        <v>154</v>
      </c>
      <c r="B33" s="9" t="s">
        <v>367</v>
      </c>
      <c r="D33" s="8" t="s">
        <v>154</v>
      </c>
      <c r="E33" s="9" t="s">
        <v>367</v>
      </c>
    </row>
    <row r="34" spans="1:7" x14ac:dyDescent="0.2">
      <c r="A34" s="6" t="s">
        <v>856</v>
      </c>
      <c r="B34" s="139">
        <f>Assumptions!B109</f>
        <v>190000</v>
      </c>
      <c r="D34" s="6" t="s">
        <v>857</v>
      </c>
      <c r="E34" s="139">
        <f>O7</f>
        <v>143881.25</v>
      </c>
    </row>
    <row r="35" spans="1:7" x14ac:dyDescent="0.2">
      <c r="A35" s="7" t="s">
        <v>858</v>
      </c>
      <c r="B35" s="190">
        <f>N25</f>
        <v>-340707.27957921545</v>
      </c>
      <c r="D35" s="6" t="s">
        <v>859</v>
      </c>
      <c r="E35" s="19">
        <f>O19</f>
        <v>674588.52957921557</v>
      </c>
    </row>
    <row r="36" spans="1:7" x14ac:dyDescent="0.2">
      <c r="A36" s="6" t="s">
        <v>860</v>
      </c>
      <c r="B36" s="151">
        <f>MIN(C28:N28)</f>
        <v>-42943.333333333336</v>
      </c>
      <c r="D36" s="6" t="s">
        <v>861</v>
      </c>
      <c r="E36" s="151">
        <f>AVERAGE(C28:N28)</f>
        <v>-31725.606631601288</v>
      </c>
    </row>
    <row r="38" spans="1:7" x14ac:dyDescent="0.2">
      <c r="A38" s="11" t="s">
        <v>862</v>
      </c>
      <c r="B38" s="20">
        <f>IF(N25&lt;0,ABS(N25),0)</f>
        <v>340707.27957921545</v>
      </c>
      <c r="D38" s="11" t="s">
        <v>863</v>
      </c>
      <c r="E38" s="20">
        <f>ROUND(B38*1.3,-3)</f>
        <v>443000</v>
      </c>
    </row>
    <row r="39" spans="1:7" x14ac:dyDescent="0.2">
      <c r="A39" s="11" t="s">
        <v>864</v>
      </c>
      <c r="B39" s="189">
        <f>E38*Assumptions!$B$15</f>
        <v>624630</v>
      </c>
      <c r="D39" s="11" t="s">
        <v>865</v>
      </c>
      <c r="E39" s="18">
        <f>ROUND(E38/ABS(E36),1)</f>
        <v>14</v>
      </c>
    </row>
    <row r="42" spans="1:7" ht="22" customHeight="1" x14ac:dyDescent="0.3">
      <c r="A42" s="41" t="s">
        <v>866</v>
      </c>
      <c r="B42" s="1"/>
      <c r="C42" s="1"/>
      <c r="D42" s="1"/>
      <c r="E42" s="1"/>
      <c r="F42" s="1"/>
      <c r="G42" s="1"/>
    </row>
    <row r="43" spans="1:7" x14ac:dyDescent="0.2">
      <c r="A43" s="173" t="s">
        <v>867</v>
      </c>
    </row>
    <row r="45" spans="1:7" x14ac:dyDescent="0.2">
      <c r="A45" s="8" t="s">
        <v>43</v>
      </c>
      <c r="B45" s="9" t="s">
        <v>868</v>
      </c>
      <c r="C45" s="9" t="s">
        <v>869</v>
      </c>
      <c r="D45" s="9" t="s">
        <v>870</v>
      </c>
      <c r="E45" s="9" t="s">
        <v>871</v>
      </c>
      <c r="F45" s="9" t="s">
        <v>872</v>
      </c>
      <c r="G45" s="9" t="s">
        <v>873</v>
      </c>
    </row>
    <row r="46" spans="1:7" x14ac:dyDescent="0.2">
      <c r="A46" s="5" t="s">
        <v>834</v>
      </c>
      <c r="B46" s="2"/>
      <c r="C46" s="2"/>
      <c r="D46" s="2"/>
      <c r="E46" s="2"/>
      <c r="F46" s="2"/>
      <c r="G46" s="2"/>
    </row>
    <row r="47" spans="1:7" x14ac:dyDescent="0.2">
      <c r="A47" s="6" t="s">
        <v>874</v>
      </c>
      <c r="B47" s="139">
        <f>Assumptions!B109</f>
        <v>190000</v>
      </c>
      <c r="C47" s="19">
        <v>0</v>
      </c>
      <c r="D47" s="19">
        <v>0</v>
      </c>
      <c r="E47" s="19">
        <v>0</v>
      </c>
      <c r="F47" s="19">
        <v>0</v>
      </c>
      <c r="G47" s="19">
        <f>SUM(B47:F47)</f>
        <v>190000</v>
      </c>
    </row>
    <row r="48" spans="1:7" x14ac:dyDescent="0.2">
      <c r="A48" s="6" t="s">
        <v>875</v>
      </c>
      <c r="B48" s="139">
        <f>'Multi-Year Projections'!B21</f>
        <v>143881.25</v>
      </c>
      <c r="C48" s="139">
        <f>'Multi-Year Projections'!C21</f>
        <v>816763.50000000023</v>
      </c>
      <c r="D48" s="139">
        <f>'Multi-Year Projections'!D21</f>
        <v>1712220.7410000004</v>
      </c>
      <c r="E48" s="139">
        <f>'Multi-Year Projections'!E21</f>
        <v>3034126.4593500006</v>
      </c>
      <c r="F48" s="139">
        <f>'Multi-Year Projections'!F21</f>
        <v>4711707.1225350015</v>
      </c>
      <c r="G48" s="19">
        <f>SUM(B48:F48)</f>
        <v>10418699.072885003</v>
      </c>
    </row>
    <row r="49" spans="1:7" x14ac:dyDescent="0.2">
      <c r="A49" s="6" t="s">
        <v>876</v>
      </c>
      <c r="B49" s="139">
        <f>'Multi-Year Projections'!B22</f>
        <v>0</v>
      </c>
      <c r="C49" s="139">
        <f>'Multi-Year Projections'!C22</f>
        <v>24120</v>
      </c>
      <c r="D49" s="139">
        <f>'Multi-Year Projections'!D22</f>
        <v>118140</v>
      </c>
      <c r="E49" s="139">
        <f>'Multi-Year Projections'!E22</f>
        <v>358884</v>
      </c>
      <c r="F49" s="139">
        <f>'Multi-Year Projections'!F22</f>
        <v>841680</v>
      </c>
      <c r="G49" s="19">
        <f>SUM(B49:F49)</f>
        <v>1342824</v>
      </c>
    </row>
    <row r="50" spans="1:7" x14ac:dyDescent="0.2">
      <c r="A50" s="7" t="s">
        <v>837</v>
      </c>
      <c r="B50" s="136">
        <f>SUM(B47:B49)</f>
        <v>333881.25</v>
      </c>
      <c r="C50" s="136">
        <f>SUM(C47:C49)</f>
        <v>840883.50000000023</v>
      </c>
      <c r="D50" s="136">
        <f>SUM(D47:D49)</f>
        <v>1830360.7410000004</v>
      </c>
      <c r="E50" s="136">
        <f>SUM(E47:E49)</f>
        <v>3393010.4593500006</v>
      </c>
      <c r="F50" s="136">
        <f>SUM(F47:F49)</f>
        <v>5553387.1225350015</v>
      </c>
      <c r="G50" s="136">
        <f>SUM(B50:F50)</f>
        <v>11951523.072885003</v>
      </c>
    </row>
    <row r="52" spans="1:7" x14ac:dyDescent="0.2">
      <c r="A52" s="5" t="s">
        <v>838</v>
      </c>
      <c r="B52" s="2"/>
      <c r="C52" s="2"/>
      <c r="D52" s="2"/>
      <c r="E52" s="2"/>
      <c r="F52" s="2"/>
      <c r="G52" s="2"/>
    </row>
    <row r="53" spans="1:7" x14ac:dyDescent="0.2">
      <c r="A53" s="6" t="s">
        <v>877</v>
      </c>
      <c r="B53" s="139">
        <f>Assumptions!B109</f>
        <v>190000</v>
      </c>
      <c r="C53" s="19">
        <v>0</v>
      </c>
      <c r="D53" s="19">
        <v>0</v>
      </c>
      <c r="E53" s="19">
        <v>0</v>
      </c>
      <c r="F53" s="19">
        <v>0</v>
      </c>
      <c r="G53" s="19">
        <f t="shared" ref="G53:G58" si="9">SUM(B53:F53)</f>
        <v>190000</v>
      </c>
    </row>
    <row r="54" spans="1:7" x14ac:dyDescent="0.2">
      <c r="A54" s="6" t="s">
        <v>878</v>
      </c>
      <c r="B54" s="139">
        <f>'Multi-Year Projections'!B32</f>
        <v>124351.4029125488</v>
      </c>
      <c r="C54" s="139">
        <f>'Multi-Year Projections'!C32</f>
        <v>295724.27674999996</v>
      </c>
      <c r="D54" s="139">
        <f>'Multi-Year Projections'!D32</f>
        <v>546429.18778050004</v>
      </c>
      <c r="E54" s="139">
        <f>'Multi-Year Projections'!E32</f>
        <v>885066.40982317505</v>
      </c>
      <c r="F54" s="139">
        <f>'Multi-Year Projections'!F32</f>
        <v>1297444.5647866174</v>
      </c>
      <c r="G54" s="19">
        <f t="shared" si="9"/>
        <v>3149015.8420528416</v>
      </c>
    </row>
    <row r="55" spans="1:7" x14ac:dyDescent="0.2">
      <c r="A55" s="6" t="s">
        <v>879</v>
      </c>
      <c r="B55" s="139">
        <f>'Multi-Year Projections'!B45</f>
        <v>729140</v>
      </c>
      <c r="C55" s="139">
        <f>'Multi-Year Projections'!C45</f>
        <v>473941</v>
      </c>
      <c r="D55" s="139">
        <f>'Multi-Year Projections'!D45</f>
        <v>568729</v>
      </c>
      <c r="E55" s="139">
        <f>'Multi-Year Projections'!E45</f>
        <v>654038</v>
      </c>
      <c r="F55" s="139">
        <f>'Multi-Year Projections'!F45</f>
        <v>719441</v>
      </c>
      <c r="G55" s="19">
        <f t="shared" si="9"/>
        <v>3145289</v>
      </c>
    </row>
    <row r="56" spans="1:7" x14ac:dyDescent="0.2">
      <c r="A56" s="6" t="s">
        <v>754</v>
      </c>
      <c r="B56" s="139">
        <f>'Multi-Year Projections'!B50</f>
        <v>11666.66666666667</v>
      </c>
      <c r="C56" s="139">
        <f>'Multi-Year Projections'!C50</f>
        <v>13417</v>
      </c>
      <c r="D56" s="139">
        <f>'Multi-Year Projections'!D50</f>
        <v>14759</v>
      </c>
      <c r="E56" s="139">
        <f>'Multi-Year Projections'!E50</f>
        <v>15940</v>
      </c>
      <c r="F56" s="139">
        <f>'Multi-Year Projections'!F50</f>
        <v>16737</v>
      </c>
      <c r="G56" s="19">
        <f t="shared" si="9"/>
        <v>72519.666666666672</v>
      </c>
    </row>
    <row r="57" spans="1:7" x14ac:dyDescent="0.2">
      <c r="A57" s="6" t="s">
        <v>755</v>
      </c>
      <c r="B57" s="139">
        <f>'Multi-Year Projections'!B51</f>
        <v>0</v>
      </c>
      <c r="C57" s="139">
        <f>'Multi-Year Projections'!C51</f>
        <v>0</v>
      </c>
      <c r="D57" s="139">
        <f>'Multi-Year Projections'!D51</f>
        <v>0</v>
      </c>
      <c r="E57" s="139">
        <f>'Multi-Year Projections'!E51</f>
        <v>0</v>
      </c>
      <c r="F57" s="139">
        <f>'Multi-Year Projections'!F51</f>
        <v>0</v>
      </c>
      <c r="G57" s="19">
        <f t="shared" si="9"/>
        <v>0</v>
      </c>
    </row>
    <row r="58" spans="1:7" x14ac:dyDescent="0.2">
      <c r="A58" s="7" t="s">
        <v>846</v>
      </c>
      <c r="B58" s="136">
        <f>SUM(B53:B57)</f>
        <v>1055158.0695792155</v>
      </c>
      <c r="C58" s="136">
        <f>SUM(C53:C57)</f>
        <v>783082.27674999996</v>
      </c>
      <c r="D58" s="136">
        <f>SUM(D53:D57)</f>
        <v>1129917.1877804999</v>
      </c>
      <c r="E58" s="136">
        <f>SUM(E53:E57)</f>
        <v>1555044.4098231751</v>
      </c>
      <c r="F58" s="136">
        <f>SUM(F53:F57)</f>
        <v>2033622.5647866174</v>
      </c>
      <c r="G58" s="136">
        <f t="shared" si="9"/>
        <v>6556824.5087195085</v>
      </c>
    </row>
    <row r="60" spans="1:7" x14ac:dyDescent="0.2">
      <c r="A60" s="21" t="s">
        <v>847</v>
      </c>
      <c r="B60" s="170">
        <f>B50-B58</f>
        <v>-721276.81957921549</v>
      </c>
      <c r="C60" s="170">
        <f>C50-C58</f>
        <v>57801.223250000272</v>
      </c>
      <c r="D60" s="170">
        <f>D50-D58</f>
        <v>700443.55321950046</v>
      </c>
      <c r="E60" s="170">
        <f>E50-E58</f>
        <v>1837966.0495268255</v>
      </c>
      <c r="F60" s="170">
        <f>F50-F58</f>
        <v>3519764.5577483838</v>
      </c>
      <c r="G60" s="170">
        <f>SUM(B60:F60)</f>
        <v>5394698.5641654944</v>
      </c>
    </row>
    <row r="62" spans="1:7" x14ac:dyDescent="0.2">
      <c r="A62" s="6" t="s">
        <v>848</v>
      </c>
      <c r="B62" s="151">
        <v>0</v>
      </c>
      <c r="C62" s="151">
        <f>B64</f>
        <v>-721276.81957921549</v>
      </c>
      <c r="D62" s="151">
        <f>C64</f>
        <v>-663475.59632921522</v>
      </c>
      <c r="E62" s="151">
        <f>D64</f>
        <v>36967.956890285248</v>
      </c>
      <c r="F62" s="151">
        <f>E64</f>
        <v>1874934.0064171108</v>
      </c>
    </row>
    <row r="63" spans="1:7" x14ac:dyDescent="0.2">
      <c r="A63" s="6" t="s">
        <v>849</v>
      </c>
      <c r="B63" s="151">
        <f>B60</f>
        <v>-721276.81957921549</v>
      </c>
      <c r="C63" s="151">
        <f>C60</f>
        <v>57801.223250000272</v>
      </c>
      <c r="D63" s="151">
        <f>D60</f>
        <v>700443.55321950046</v>
      </c>
      <c r="E63" s="151">
        <f>E60</f>
        <v>1837966.0495268255</v>
      </c>
      <c r="F63" s="151">
        <f>F60</f>
        <v>3519764.5577483838</v>
      </c>
    </row>
    <row r="64" spans="1:7" x14ac:dyDescent="0.2">
      <c r="A64" s="21" t="s">
        <v>850</v>
      </c>
      <c r="B64" s="170">
        <f>B62+B63</f>
        <v>-721276.81957921549</v>
      </c>
      <c r="C64" s="170">
        <f>C62+C63</f>
        <v>-663475.59632921522</v>
      </c>
      <c r="D64" s="170">
        <f>D62+D63</f>
        <v>36967.956890285248</v>
      </c>
      <c r="E64" s="170">
        <f>E62+E63</f>
        <v>1874934.0064171108</v>
      </c>
      <c r="F64" s="170">
        <f>F62+F63</f>
        <v>5394698.5641654944</v>
      </c>
      <c r="G64" s="170">
        <f>F64</f>
        <v>5394698.5641654944</v>
      </c>
    </row>
    <row r="66" spans="1:7" x14ac:dyDescent="0.2">
      <c r="A66" s="7" t="s">
        <v>880</v>
      </c>
      <c r="B66" s="30">
        <f>'Multi-Year Projections'!B47-B53</f>
        <v>-899610.15291254874</v>
      </c>
      <c r="C66" s="30">
        <f>'Multi-Year Projections'!C47</f>
        <v>71218.223250000272</v>
      </c>
      <c r="D66" s="30">
        <f>'Multi-Year Projections'!D47</f>
        <v>715202.55321950046</v>
      </c>
      <c r="E66" s="30">
        <f>'Multi-Year Projections'!E47</f>
        <v>1853906.0495268255</v>
      </c>
      <c r="F66" s="30">
        <f>'Multi-Year Projections'!F47</f>
        <v>3536501.5577483838</v>
      </c>
      <c r="G66" s="30">
        <f>SUM(B66:F66)</f>
        <v>5277218.2308321614</v>
      </c>
    </row>
    <row r="67" spans="1:7" x14ac:dyDescent="0.2">
      <c r="A67" s="6" t="s">
        <v>881</v>
      </c>
      <c r="B67" s="24">
        <f>IF(B50=0,0,B66/B50)</f>
        <v>-2.6944015362124971</v>
      </c>
      <c r="C67" s="24">
        <f>IF(C50=0,0,C66/C50)</f>
        <v>8.469451862237784E-2</v>
      </c>
      <c r="D67" s="24">
        <f>IF(D50=0,0,D66/D50)</f>
        <v>0.39074404143346969</v>
      </c>
      <c r="E67" s="24">
        <f>IF(E50=0,0,E66/E50)</f>
        <v>0.54638972432816446</v>
      </c>
      <c r="F67" s="24">
        <f>IF(F50=0,0,F66/F50)</f>
        <v>0.63681884221571194</v>
      </c>
    </row>
    <row r="68" spans="1:7" x14ac:dyDescent="0.2">
      <c r="A68" s="11" t="s">
        <v>882</v>
      </c>
      <c r="B68" s="12" t="str">
        <f>IF(B64&gt;0,"Year 1",IF(C64&gt;0,"Year 2",IF(D64&gt;0,"Year 3",IF(E64&gt;0,"Year 4",IF(F64&gt;0,"Year 5","Beyond Y5")))))</f>
        <v>Year 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G69"/>
  <sheetViews>
    <sheetView topLeftCell="A52" zoomScale="125" workbookViewId="0">
      <selection activeCell="C67" sqref="C67"/>
    </sheetView>
  </sheetViews>
  <sheetFormatPr baseColWidth="10" defaultRowHeight="16" x14ac:dyDescent="0.2"/>
  <cols>
    <col min="1" max="1" width="40" customWidth="1"/>
    <col min="2" max="2" width="30.33203125" bestFit="1" customWidth="1"/>
    <col min="3" max="3" width="56.6640625" bestFit="1" customWidth="1"/>
    <col min="4" max="6" width="23.33203125" customWidth="1"/>
    <col min="7" max="7" width="33.33203125" customWidth="1"/>
  </cols>
  <sheetData>
    <row r="1" spans="1:7" ht="19" customHeight="1" x14ac:dyDescent="0.25">
      <c r="A1" s="37" t="s">
        <v>883</v>
      </c>
      <c r="B1" s="1"/>
      <c r="C1" s="1"/>
      <c r="D1" s="1"/>
      <c r="E1" s="1"/>
      <c r="F1" s="1"/>
      <c r="G1" s="1"/>
    </row>
    <row r="2" spans="1:7" x14ac:dyDescent="0.2">
      <c r="A2" s="38" t="s">
        <v>884</v>
      </c>
      <c r="B2" s="2"/>
      <c r="C2" s="2"/>
      <c r="D2" s="2"/>
      <c r="E2" s="2"/>
      <c r="F2" s="2"/>
      <c r="G2" s="2"/>
    </row>
    <row r="4" spans="1:7" x14ac:dyDescent="0.2">
      <c r="A4" s="38" t="s">
        <v>885</v>
      </c>
      <c r="B4" s="2"/>
      <c r="C4" s="2"/>
      <c r="D4" s="2"/>
      <c r="E4" s="2"/>
      <c r="F4" s="2"/>
      <c r="G4" s="2"/>
    </row>
    <row r="5" spans="1:7" x14ac:dyDescent="0.2">
      <c r="A5" s="8" t="s">
        <v>154</v>
      </c>
      <c r="B5" s="9" t="s">
        <v>886</v>
      </c>
      <c r="C5" s="9" t="s">
        <v>887</v>
      </c>
      <c r="D5" s="9" t="s">
        <v>888</v>
      </c>
      <c r="E5" s="9" t="s">
        <v>889</v>
      </c>
      <c r="F5" s="9" t="s">
        <v>158</v>
      </c>
    </row>
    <row r="6" spans="1:7" x14ac:dyDescent="0.2">
      <c r="A6" s="6" t="s">
        <v>890</v>
      </c>
      <c r="B6" s="132">
        <v>0.25</v>
      </c>
      <c r="C6" s="158">
        <v>0.5</v>
      </c>
      <c r="D6" s="158">
        <v>0.5</v>
      </c>
      <c r="E6" s="158">
        <v>0.6</v>
      </c>
      <c r="F6" s="6" t="s">
        <v>891</v>
      </c>
    </row>
    <row r="7" spans="1:7" x14ac:dyDescent="0.2">
      <c r="A7" s="6" t="s">
        <v>892</v>
      </c>
      <c r="B7" s="132">
        <v>0.04</v>
      </c>
      <c r="C7" s="132">
        <v>0.05</v>
      </c>
      <c r="D7" s="158">
        <v>0.1</v>
      </c>
      <c r="E7" s="158">
        <v>0.1</v>
      </c>
      <c r="F7" s="6" t="s">
        <v>893</v>
      </c>
    </row>
    <row r="8" spans="1:7" x14ac:dyDescent="0.2">
      <c r="A8" s="7" t="s">
        <v>894</v>
      </c>
      <c r="B8" s="159">
        <f>'Monthly P&amp;L'!N11</f>
        <v>1256</v>
      </c>
      <c r="C8" s="136">
        <v>750</v>
      </c>
      <c r="D8" s="136">
        <v>500</v>
      </c>
      <c r="E8" s="136">
        <v>350</v>
      </c>
      <c r="F8" s="6" t="s">
        <v>895</v>
      </c>
    </row>
    <row r="9" spans="1:7" x14ac:dyDescent="0.2">
      <c r="A9" s="7" t="s">
        <v>825</v>
      </c>
      <c r="B9" s="31" t="s">
        <v>896</v>
      </c>
      <c r="C9" s="160" t="s">
        <v>897</v>
      </c>
      <c r="D9" s="33" t="s">
        <v>898</v>
      </c>
      <c r="E9" s="33" t="s">
        <v>899</v>
      </c>
      <c r="F9" s="6" t="s">
        <v>900</v>
      </c>
    </row>
    <row r="11" spans="1:7" x14ac:dyDescent="0.2">
      <c r="A11" s="38" t="s">
        <v>901</v>
      </c>
      <c r="B11" s="2"/>
      <c r="C11" s="2"/>
      <c r="D11" s="2"/>
      <c r="E11" s="2"/>
      <c r="F11" s="2"/>
    </row>
    <row r="12" spans="1:7" x14ac:dyDescent="0.2">
      <c r="A12" s="8" t="s">
        <v>902</v>
      </c>
      <c r="B12" s="9" t="s">
        <v>886</v>
      </c>
      <c r="C12" s="9" t="s">
        <v>903</v>
      </c>
      <c r="D12" s="8" t="s">
        <v>625</v>
      </c>
    </row>
    <row r="13" spans="1:7" x14ac:dyDescent="0.2">
      <c r="A13" s="6" t="s">
        <v>904</v>
      </c>
      <c r="B13" s="14" t="s">
        <v>905</v>
      </c>
      <c r="C13" s="145" t="s">
        <v>906</v>
      </c>
      <c r="D13" s="6" t="s">
        <v>907</v>
      </c>
    </row>
    <row r="14" spans="1:7" x14ac:dyDescent="0.2">
      <c r="A14" s="6" t="s">
        <v>908</v>
      </c>
      <c r="B14" s="14" t="s">
        <v>909</v>
      </c>
      <c r="C14" s="145" t="s">
        <v>910</v>
      </c>
      <c r="D14" s="6" t="s">
        <v>911</v>
      </c>
    </row>
    <row r="15" spans="1:7" x14ac:dyDescent="0.2">
      <c r="A15" s="6" t="s">
        <v>912</v>
      </c>
      <c r="B15" s="14" t="s">
        <v>913</v>
      </c>
      <c r="C15" s="145" t="s">
        <v>914</v>
      </c>
      <c r="D15" s="6" t="s">
        <v>915</v>
      </c>
    </row>
    <row r="16" spans="1:7" x14ac:dyDescent="0.2">
      <c r="A16" s="6" t="s">
        <v>916</v>
      </c>
      <c r="B16" s="14" t="s">
        <v>917</v>
      </c>
      <c r="C16" s="145" t="s">
        <v>429</v>
      </c>
      <c r="D16" s="6" t="s">
        <v>918</v>
      </c>
    </row>
    <row r="18" spans="1:7" x14ac:dyDescent="0.2">
      <c r="A18" s="8" t="s">
        <v>919</v>
      </c>
      <c r="B18" s="9" t="s">
        <v>920</v>
      </c>
      <c r="C18" s="161" t="s">
        <v>921</v>
      </c>
      <c r="D18" s="9" t="s">
        <v>922</v>
      </c>
    </row>
    <row r="19" spans="1:7" x14ac:dyDescent="0.2">
      <c r="A19" s="6" t="s">
        <v>923</v>
      </c>
      <c r="B19" s="139">
        <f>'Monthly P&amp;L'!N11</f>
        <v>1256</v>
      </c>
      <c r="C19" s="134">
        <v>350</v>
      </c>
      <c r="D19" s="24">
        <f>(C19-B19)/B19</f>
        <v>-0.7213375796178344</v>
      </c>
    </row>
    <row r="20" spans="1:7" x14ac:dyDescent="0.2">
      <c r="A20" s="6" t="s">
        <v>924</v>
      </c>
      <c r="B20" s="139">
        <f>'Monthly P&amp;L'!O23</f>
        <v>143881.25</v>
      </c>
      <c r="C20" s="134">
        <v>45000</v>
      </c>
      <c r="D20" s="24">
        <f>(C20-B20)/B20</f>
        <v>-0.68724208331523395</v>
      </c>
    </row>
    <row r="21" spans="1:7" x14ac:dyDescent="0.2">
      <c r="A21" s="6" t="s">
        <v>925</v>
      </c>
      <c r="B21" s="162">
        <f>'Monthly P&amp;L'!O53</f>
        <v>-392373.94624588214</v>
      </c>
      <c r="C21" s="163">
        <v>-500000</v>
      </c>
      <c r="D21" s="24">
        <f>(C21-B21)/B21</f>
        <v>0.2742945977526085</v>
      </c>
    </row>
    <row r="22" spans="1:7" x14ac:dyDescent="0.2">
      <c r="A22" s="7" t="s">
        <v>825</v>
      </c>
      <c r="B22" s="14" t="s">
        <v>926</v>
      </c>
      <c r="C22" s="33" t="s">
        <v>927</v>
      </c>
    </row>
    <row r="24" spans="1:7" x14ac:dyDescent="0.2">
      <c r="A24" s="38" t="s">
        <v>928</v>
      </c>
      <c r="B24" s="2"/>
      <c r="C24" s="2"/>
      <c r="D24" s="2"/>
      <c r="E24" s="2"/>
      <c r="F24" s="2"/>
      <c r="G24" s="2"/>
    </row>
    <row r="25" spans="1:7" x14ac:dyDescent="0.2">
      <c r="A25" s="8" t="s">
        <v>154</v>
      </c>
      <c r="B25" s="9" t="s">
        <v>929</v>
      </c>
      <c r="C25" s="9" t="s">
        <v>930</v>
      </c>
      <c r="D25" s="164" t="s">
        <v>931</v>
      </c>
      <c r="E25" s="9" t="s">
        <v>932</v>
      </c>
      <c r="F25" s="9" t="s">
        <v>933</v>
      </c>
      <c r="G25" s="9" t="s">
        <v>158</v>
      </c>
    </row>
    <row r="26" spans="1:7" x14ac:dyDescent="0.2">
      <c r="A26" s="6" t="s">
        <v>934</v>
      </c>
      <c r="B26" s="130">
        <v>22</v>
      </c>
      <c r="C26" s="130">
        <v>27</v>
      </c>
      <c r="D26" s="165">
        <f>Assumptions!B50</f>
        <v>32.25</v>
      </c>
      <c r="E26" s="130">
        <v>38</v>
      </c>
      <c r="F26" s="130">
        <v>45</v>
      </c>
    </row>
    <row r="27" spans="1:7" x14ac:dyDescent="0.2">
      <c r="A27" s="6" t="s">
        <v>935</v>
      </c>
      <c r="B27" s="19">
        <f>ROUND(B20*(B26/D26),0)</f>
        <v>98152</v>
      </c>
      <c r="C27" s="19">
        <f>ROUND(B20*(C26/D26),0)</f>
        <v>120459</v>
      </c>
      <c r="D27" s="166">
        <f>B20</f>
        <v>143881.25</v>
      </c>
      <c r="E27" s="19">
        <f>ROUND(B20*(E26/D26),0)</f>
        <v>169534</v>
      </c>
      <c r="F27" s="19">
        <f>ROUND(B20*(F26/D26),0)</f>
        <v>200765</v>
      </c>
    </row>
    <row r="28" spans="1:7" x14ac:dyDescent="0.2">
      <c r="A28" s="6" t="s">
        <v>936</v>
      </c>
      <c r="B28" s="24">
        <f>(B27-D27)/D27</f>
        <v>-0.31782633247904085</v>
      </c>
      <c r="C28" s="24">
        <f>(C27-D27)/D27</f>
        <v>-0.16278875809043916</v>
      </c>
      <c r="D28" s="12" t="s">
        <v>937</v>
      </c>
      <c r="E28" s="24">
        <f>(E27-D27)/D27</f>
        <v>0.17829112549411408</v>
      </c>
      <c r="F28" s="24">
        <f>(F27-D27)/D27</f>
        <v>0.39535206984926807</v>
      </c>
    </row>
    <row r="29" spans="1:7" x14ac:dyDescent="0.2">
      <c r="A29" s="6" t="s">
        <v>938</v>
      </c>
      <c r="B29" s="24">
        <f>B26/Assumptions!$B$11</f>
        <v>3.966965992282448E-2</v>
      </c>
      <c r="C29" s="24">
        <f>C26/Assumptions!$B$11</f>
        <v>4.8685491723466402E-2</v>
      </c>
      <c r="D29" s="167">
        <f>D26/Assumptions!$B$11</f>
        <v>5.8152115114140424E-2</v>
      </c>
      <c r="E29" s="24">
        <f>E26/Assumptions!$B$11</f>
        <v>6.8520321684878635E-2</v>
      </c>
      <c r="F29" s="24">
        <f>F26/Assumptions!$B$11</f>
        <v>8.1142486205777339E-2</v>
      </c>
      <c r="G29" s="6" t="s">
        <v>939</v>
      </c>
    </row>
    <row r="31" spans="1:7" x14ac:dyDescent="0.2">
      <c r="A31" s="38" t="s">
        <v>940</v>
      </c>
      <c r="B31" s="2"/>
      <c r="C31" s="2"/>
      <c r="D31" s="2"/>
      <c r="E31" s="2"/>
      <c r="F31" s="2"/>
      <c r="G31" s="2"/>
    </row>
    <row r="32" spans="1:7" x14ac:dyDescent="0.2">
      <c r="A32" s="8" t="s">
        <v>941</v>
      </c>
      <c r="B32" s="9" t="s">
        <v>942</v>
      </c>
      <c r="C32" s="9" t="s">
        <v>943</v>
      </c>
      <c r="D32" s="9" t="s">
        <v>944</v>
      </c>
      <c r="E32" s="9" t="s">
        <v>945</v>
      </c>
      <c r="F32" s="9" t="s">
        <v>946</v>
      </c>
    </row>
    <row r="33" spans="1:7" x14ac:dyDescent="0.2">
      <c r="A33" s="14">
        <v>500</v>
      </c>
      <c r="B33" s="19">
        <f>A33*Assumptions!$B$50</f>
        <v>16125</v>
      </c>
      <c r="C33" s="19">
        <f>A33*Assumptions!$B$59+Assumptions!$B$63+Assumptions!$B$64+Assumptions!$B$65</f>
        <v>5725</v>
      </c>
      <c r="D33" s="19">
        <f>Assumptions!$C$87+Assumptions!$B$69+Assumptions!$C$98+Assumptions!$C$85</f>
        <v>21983.333333333336</v>
      </c>
      <c r="E33" s="30">
        <f t="shared" ref="E33:E38" si="0">B33-C33-D33</f>
        <v>-11583.333333333336</v>
      </c>
      <c r="F33" s="14" t="s">
        <v>947</v>
      </c>
    </row>
    <row r="34" spans="1:7" x14ac:dyDescent="0.2">
      <c r="A34" s="14">
        <v>1000</v>
      </c>
      <c r="B34" s="19">
        <f>A34*Assumptions!$B$50</f>
        <v>32250</v>
      </c>
      <c r="C34" s="19">
        <f>A34*Assumptions!$B$59+Assumptions!$B$63+Assumptions!$B$64+Assumptions!$B$65</f>
        <v>10050</v>
      </c>
      <c r="D34" s="19">
        <f>Assumptions!$C$87+Assumptions!$B$69+Assumptions!$C$98+Assumptions!$C$85</f>
        <v>21983.333333333336</v>
      </c>
      <c r="E34" s="30">
        <f t="shared" si="0"/>
        <v>216.66666666666424</v>
      </c>
      <c r="F34" s="14" t="s">
        <v>947</v>
      </c>
    </row>
    <row r="35" spans="1:7" x14ac:dyDescent="0.2">
      <c r="A35" s="14">
        <v>1500</v>
      </c>
      <c r="B35" s="19">
        <f>A35*Assumptions!$B$50</f>
        <v>48375</v>
      </c>
      <c r="C35" s="19">
        <f>A35*Assumptions!$B$59+Assumptions!$B$63+Assumptions!$B$64+Assumptions!$B$65</f>
        <v>14375</v>
      </c>
      <c r="D35" s="19">
        <f>Assumptions!$C$87+Assumptions!$B$69+Assumptions!$C$98+Assumptions!$C$85</f>
        <v>21983.333333333336</v>
      </c>
      <c r="E35" s="30">
        <f t="shared" si="0"/>
        <v>12016.666666666664</v>
      </c>
      <c r="F35" s="14" t="str">
        <f>IF(E35&gt;=0,"✅ Profitable","❌ Loss")</f>
        <v>✅ Profitable</v>
      </c>
    </row>
    <row r="36" spans="1:7" x14ac:dyDescent="0.2">
      <c r="A36" s="14">
        <v>2000</v>
      </c>
      <c r="B36" s="19">
        <f>A36*Assumptions!$B$50</f>
        <v>64500</v>
      </c>
      <c r="C36" s="19">
        <f>A36*Assumptions!$B$59+Assumptions!$B$63+Assumptions!$B$64+Assumptions!$B$65</f>
        <v>18700</v>
      </c>
      <c r="D36" s="19">
        <f>Assumptions!$C$87+Assumptions!$B$69+Assumptions!$C$98+Assumptions!$C$85</f>
        <v>21983.333333333336</v>
      </c>
      <c r="E36" s="30">
        <f t="shared" si="0"/>
        <v>23816.666666666664</v>
      </c>
      <c r="F36" s="14" t="str">
        <f>IF(E36&gt;=0,"✅ Profitable","❌ Loss")</f>
        <v>✅ Profitable</v>
      </c>
    </row>
    <row r="37" spans="1:7" x14ac:dyDescent="0.2">
      <c r="A37" s="14">
        <v>3000</v>
      </c>
      <c r="B37" s="19">
        <f>A37*Assumptions!$B$50</f>
        <v>96750</v>
      </c>
      <c r="C37" s="19">
        <f>A37*Assumptions!$B$59+Assumptions!$B$63+Assumptions!$B$64+Assumptions!$B$65</f>
        <v>27350</v>
      </c>
      <c r="D37" s="19">
        <f>Assumptions!$C$87+Assumptions!$B$69+Assumptions!$C$98+Assumptions!$C$85</f>
        <v>21983.333333333336</v>
      </c>
      <c r="E37" s="30">
        <f t="shared" si="0"/>
        <v>47416.666666666664</v>
      </c>
      <c r="F37" s="14" t="str">
        <f>IF(E37&gt;=0,"✅ Profitable","❌ Loss")</f>
        <v>✅ Profitable</v>
      </c>
    </row>
    <row r="38" spans="1:7" x14ac:dyDescent="0.2">
      <c r="A38" s="14">
        <v>5000</v>
      </c>
      <c r="B38" s="19">
        <f>A38*Assumptions!$B$50</f>
        <v>161250</v>
      </c>
      <c r="C38" s="19">
        <f>A38*Assumptions!$B$59+Assumptions!$B$63+Assumptions!$B$64+Assumptions!$B$65</f>
        <v>44650</v>
      </c>
      <c r="D38" s="19">
        <f>Assumptions!$C$87+Assumptions!$B$69+Assumptions!$C$98+Assumptions!$C$85</f>
        <v>21983.333333333336</v>
      </c>
      <c r="E38" s="30">
        <f t="shared" si="0"/>
        <v>94616.666666666657</v>
      </c>
      <c r="F38" s="14" t="str">
        <f>IF(E38&gt;=0,"✅ Profitable","❌ Loss")</f>
        <v>✅ Profitable</v>
      </c>
    </row>
    <row r="40" spans="1:7" x14ac:dyDescent="0.2">
      <c r="A40" s="168" t="s">
        <v>948</v>
      </c>
    </row>
    <row r="42" spans="1:7" x14ac:dyDescent="0.2">
      <c r="A42" s="38" t="s">
        <v>949</v>
      </c>
      <c r="B42" s="199"/>
      <c r="C42" s="199"/>
      <c r="D42" s="199"/>
      <c r="E42" s="199"/>
      <c r="F42" s="199"/>
      <c r="G42" s="199"/>
    </row>
    <row r="43" spans="1:7" x14ac:dyDescent="0.2">
      <c r="A43" s="191" t="s">
        <v>950</v>
      </c>
    </row>
    <row r="44" spans="1:7" x14ac:dyDescent="0.2">
      <c r="A44" s="128" t="s">
        <v>951</v>
      </c>
      <c r="B44" s="129" t="s">
        <v>246</v>
      </c>
      <c r="C44" s="129" t="s">
        <v>248</v>
      </c>
      <c r="D44" s="129" t="s">
        <v>952</v>
      </c>
      <c r="E44" s="129" t="s">
        <v>953</v>
      </c>
      <c r="F44" s="129" t="s">
        <v>825</v>
      </c>
    </row>
    <row r="45" spans="1:7" x14ac:dyDescent="0.2">
      <c r="A45" s="192">
        <v>2.5000000000000001E-2</v>
      </c>
      <c r="B45" s="193">
        <v>27</v>
      </c>
      <c r="C45" s="194">
        <f>B45*'Unit Economics'!$B$44</f>
        <v>476.857125</v>
      </c>
      <c r="D45" s="198">
        <f>C45/'Unit Economics'!$B$53</f>
        <v>10.596824999999999</v>
      </c>
      <c r="E45" s="193" t="s">
        <v>954</v>
      </c>
      <c r="F45" t="s">
        <v>955</v>
      </c>
    </row>
    <row r="46" spans="1:7" x14ac:dyDescent="0.2">
      <c r="A46" s="192">
        <v>0.05</v>
      </c>
      <c r="B46">
        <v>16</v>
      </c>
      <c r="C46" s="194">
        <f>B46*'Unit Economics'!$B$44</f>
        <v>282.58199999999999</v>
      </c>
      <c r="D46" s="198">
        <f>C46/'Unit Economics'!$B$53</f>
        <v>6.2796000000000003</v>
      </c>
      <c r="E46" s="193" t="s">
        <v>954</v>
      </c>
      <c r="F46" t="s">
        <v>956</v>
      </c>
    </row>
    <row r="47" spans="1:7" x14ac:dyDescent="0.2">
      <c r="A47" s="192">
        <v>7.4999999999999997E-2</v>
      </c>
      <c r="B47">
        <v>11</v>
      </c>
      <c r="C47" s="194">
        <f>B47*'Unit Economics'!$B$44</f>
        <v>194.275125</v>
      </c>
      <c r="D47" s="198">
        <f>C47/'Unit Economics'!$B$53</f>
        <v>4.3172249999999996</v>
      </c>
      <c r="E47" s="193" t="s">
        <v>954</v>
      </c>
      <c r="F47" t="s">
        <v>957</v>
      </c>
    </row>
    <row r="48" spans="1:7" x14ac:dyDescent="0.2">
      <c r="A48" s="192">
        <v>0.1</v>
      </c>
      <c r="B48">
        <v>8</v>
      </c>
      <c r="C48" s="194">
        <f>B48*'Unit Economics'!$B$44</f>
        <v>141.291</v>
      </c>
      <c r="D48" s="198">
        <f>C48/'Unit Economics'!$B$53</f>
        <v>3.1398000000000001</v>
      </c>
      <c r="E48" s="193" t="s">
        <v>958</v>
      </c>
      <c r="F48" t="s">
        <v>959</v>
      </c>
    </row>
    <row r="49" spans="1:7" x14ac:dyDescent="0.2">
      <c r="A49" s="192">
        <v>0.15</v>
      </c>
      <c r="B49">
        <v>5.5</v>
      </c>
      <c r="C49" s="194">
        <f>B49*'Unit Economics'!$B$44</f>
        <v>97.137562500000001</v>
      </c>
      <c r="D49" s="198">
        <f>C49/'Unit Economics'!$B$53</f>
        <v>2.1586124999999998</v>
      </c>
      <c r="E49" s="193" t="s">
        <v>960</v>
      </c>
      <c r="F49" t="s">
        <v>961</v>
      </c>
    </row>
    <row r="50" spans="1:7" x14ac:dyDescent="0.2">
      <c r="A50" s="191" t="s">
        <v>962</v>
      </c>
    </row>
    <row r="52" spans="1:7" x14ac:dyDescent="0.2">
      <c r="A52" s="38" t="s">
        <v>963</v>
      </c>
      <c r="B52" s="199"/>
      <c r="C52" s="199"/>
      <c r="D52" s="199"/>
      <c r="E52" s="199"/>
      <c r="F52" s="199"/>
      <c r="G52" s="199"/>
    </row>
    <row r="53" spans="1:7" x14ac:dyDescent="0.2">
      <c r="A53" s="191" t="s">
        <v>964</v>
      </c>
    </row>
    <row r="54" spans="1:7" x14ac:dyDescent="0.2">
      <c r="A54" s="128" t="s">
        <v>154</v>
      </c>
      <c r="B54" s="129" t="s">
        <v>560</v>
      </c>
      <c r="C54" s="129" t="s">
        <v>561</v>
      </c>
      <c r="D54" s="129" t="s">
        <v>158</v>
      </c>
    </row>
    <row r="55" spans="1:7" x14ac:dyDescent="0.2">
      <c r="A55" t="s">
        <v>965</v>
      </c>
      <c r="B55" s="194">
        <f>Assumptions!B109</f>
        <v>190000</v>
      </c>
      <c r="C55" s="194">
        <f>B55*Assumptions!$B$15</f>
        <v>267900</v>
      </c>
      <c r="D55" t="s">
        <v>966</v>
      </c>
    </row>
    <row r="56" spans="1:7" x14ac:dyDescent="0.2">
      <c r="A56" t="s">
        <v>967</v>
      </c>
      <c r="B56" s="194">
        <f>'Monthly P&amp;L'!O53</f>
        <v>-392373.94624588214</v>
      </c>
      <c r="C56" s="194">
        <f>B56*Assumptions!$B$15</f>
        <v>-553247.26420669374</v>
      </c>
      <c r="D56" t="s">
        <v>968</v>
      </c>
    </row>
    <row r="57" spans="1:7" x14ac:dyDescent="0.2">
      <c r="A57" t="s">
        <v>969</v>
      </c>
      <c r="B57" s="195">
        <f>ABS(B56)+B55</f>
        <v>582373.94624588219</v>
      </c>
      <c r="C57" s="195">
        <f>B57*Assumptions!$B$15</f>
        <v>821147.26420669386</v>
      </c>
      <c r="D57" t="s">
        <v>970</v>
      </c>
    </row>
    <row r="58" spans="1:7" x14ac:dyDescent="0.2">
      <c r="A58" t="s">
        <v>971</v>
      </c>
      <c r="B58" s="196">
        <f>B55-B57</f>
        <v>-392373.94624588219</v>
      </c>
      <c r="C58" s="196">
        <f>B58*Assumptions!$B$15</f>
        <v>-553247.26420669386</v>
      </c>
      <c r="D58" t="s">
        <v>972</v>
      </c>
    </row>
    <row r="59" spans="1:7" x14ac:dyDescent="0.2">
      <c r="A59" t="s">
        <v>68</v>
      </c>
      <c r="B59" s="195">
        <f>ROUND(ABS(B58)*1.3,-3)</f>
        <v>510000</v>
      </c>
      <c r="C59" s="195">
        <f>B59*Assumptions!$B$15</f>
        <v>719100</v>
      </c>
      <c r="D59" t="s">
        <v>973</v>
      </c>
    </row>
    <row r="60" spans="1:7" x14ac:dyDescent="0.2">
      <c r="A60" t="s">
        <v>974</v>
      </c>
      <c r="B60" s="193">
        <f>ROUND((B55+B59)/ABS('Cash Flow'!N18),1)</f>
        <v>16.5</v>
      </c>
      <c r="C60" t="s">
        <v>802</v>
      </c>
      <c r="D60" t="s">
        <v>975</v>
      </c>
    </row>
    <row r="62" spans="1:7" x14ac:dyDescent="0.2">
      <c r="A62" s="38" t="s">
        <v>976</v>
      </c>
      <c r="B62" s="199"/>
      <c r="C62" s="199"/>
      <c r="D62" s="199"/>
      <c r="E62" s="199"/>
      <c r="F62" s="199"/>
      <c r="G62" s="199"/>
    </row>
    <row r="63" spans="1:7" x14ac:dyDescent="0.2">
      <c r="A63" s="191" t="s">
        <v>977</v>
      </c>
    </row>
    <row r="64" spans="1:7" x14ac:dyDescent="0.2">
      <c r="A64" s="128" t="s">
        <v>978</v>
      </c>
      <c r="B64" s="129" t="s">
        <v>979</v>
      </c>
      <c r="C64" s="129" t="s">
        <v>980</v>
      </c>
      <c r="D64" s="129" t="s">
        <v>981</v>
      </c>
      <c r="E64" s="129" t="s">
        <v>982</v>
      </c>
    </row>
    <row r="65" spans="1:5" x14ac:dyDescent="0.2">
      <c r="A65" t="s">
        <v>983</v>
      </c>
      <c r="B65" t="s">
        <v>984</v>
      </c>
      <c r="C65" t="s">
        <v>985</v>
      </c>
      <c r="D65" t="s">
        <v>986</v>
      </c>
      <c r="E65" t="s">
        <v>987</v>
      </c>
    </row>
    <row r="66" spans="1:5" x14ac:dyDescent="0.2">
      <c r="A66" t="s">
        <v>988</v>
      </c>
      <c r="B66" t="s">
        <v>989</v>
      </c>
      <c r="C66" t="s">
        <v>990</v>
      </c>
      <c r="D66" t="s">
        <v>986</v>
      </c>
      <c r="E66" t="s">
        <v>991</v>
      </c>
    </row>
    <row r="67" spans="1:5" x14ac:dyDescent="0.2">
      <c r="A67" t="s">
        <v>992</v>
      </c>
      <c r="B67" s="197">
        <v>0.65</v>
      </c>
      <c r="C67" t="s">
        <v>993</v>
      </c>
      <c r="D67" t="s">
        <v>986</v>
      </c>
      <c r="E67" t="s">
        <v>994</v>
      </c>
    </row>
    <row r="68" spans="1:5" x14ac:dyDescent="0.2">
      <c r="A68" t="s">
        <v>995</v>
      </c>
      <c r="B68" t="s">
        <v>996</v>
      </c>
      <c r="C68" t="s">
        <v>997</v>
      </c>
      <c r="D68" t="s">
        <v>998</v>
      </c>
      <c r="E68" t="s">
        <v>999</v>
      </c>
    </row>
    <row r="69" spans="1:5" x14ac:dyDescent="0.2">
      <c r="A69" t="s">
        <v>1000</v>
      </c>
      <c r="B69" t="s">
        <v>1001</v>
      </c>
      <c r="C69" t="s">
        <v>1002</v>
      </c>
      <c r="D69" t="s">
        <v>986</v>
      </c>
      <c r="E69" t="s">
        <v>1003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87"/>
  <sheetViews>
    <sheetView topLeftCell="A5" zoomScale="125" workbookViewId="0"/>
  </sheetViews>
  <sheetFormatPr baseColWidth="10" defaultRowHeight="16" x14ac:dyDescent="0.2"/>
  <cols>
    <col min="1" max="1" width="51.6640625" customWidth="1"/>
    <col min="2" max="4" width="19.1640625" customWidth="1"/>
    <col min="5" max="5" width="33.33203125" customWidth="1"/>
    <col min="6" max="8" width="19.1640625" customWidth="1"/>
  </cols>
  <sheetData>
    <row r="1" spans="1:8" ht="19" customHeight="1" x14ac:dyDescent="0.25">
      <c r="A1" s="37" t="s">
        <v>1004</v>
      </c>
      <c r="B1" s="1"/>
      <c r="C1" s="1"/>
      <c r="D1" s="1"/>
      <c r="E1" s="1"/>
      <c r="F1" s="1"/>
      <c r="G1" s="1"/>
      <c r="H1" s="1"/>
    </row>
    <row r="2" spans="1:8" x14ac:dyDescent="0.2">
      <c r="A2" s="38" t="s">
        <v>1005</v>
      </c>
      <c r="B2" s="2"/>
      <c r="C2" s="2"/>
      <c r="D2" s="2"/>
      <c r="E2" s="2"/>
      <c r="F2" s="2"/>
      <c r="G2" s="2"/>
      <c r="H2" s="2"/>
    </row>
    <row r="4" spans="1:8" x14ac:dyDescent="0.2">
      <c r="A4" s="8" t="s">
        <v>43</v>
      </c>
      <c r="B4" s="9" t="s">
        <v>868</v>
      </c>
      <c r="C4" s="9" t="s">
        <v>869</v>
      </c>
      <c r="D4" s="9" t="s">
        <v>870</v>
      </c>
      <c r="E4" s="9" t="s">
        <v>871</v>
      </c>
      <c r="F4" s="9" t="s">
        <v>872</v>
      </c>
      <c r="G4" s="9" t="s">
        <v>1006</v>
      </c>
      <c r="H4" s="9" t="s">
        <v>873</v>
      </c>
    </row>
    <row r="5" spans="1:8" x14ac:dyDescent="0.2">
      <c r="A5" s="25" t="s">
        <v>1007</v>
      </c>
    </row>
    <row r="6" spans="1:8" x14ac:dyDescent="0.2">
      <c r="A6" s="6" t="s">
        <v>1008</v>
      </c>
      <c r="B6" s="14" t="s">
        <v>106</v>
      </c>
      <c r="C6" s="131">
        <v>1.2</v>
      </c>
      <c r="D6" s="131">
        <v>0.85</v>
      </c>
      <c r="E6" s="131">
        <v>0.6</v>
      </c>
      <c r="F6" s="131">
        <v>0.45</v>
      </c>
    </row>
    <row r="7" spans="1:8" x14ac:dyDescent="0.2">
      <c r="A7" s="6" t="s">
        <v>1009</v>
      </c>
      <c r="B7" s="14" t="s">
        <v>106</v>
      </c>
      <c r="C7" s="131">
        <v>0.05</v>
      </c>
      <c r="D7" s="131">
        <v>7.0000000000000007E-2</v>
      </c>
      <c r="E7" s="131">
        <v>0.05</v>
      </c>
      <c r="F7" s="131">
        <v>0.03</v>
      </c>
    </row>
    <row r="8" spans="1:8" x14ac:dyDescent="0.2">
      <c r="A8" s="6" t="s">
        <v>1010</v>
      </c>
      <c r="B8" s="14" t="s">
        <v>106</v>
      </c>
      <c r="C8" s="131">
        <v>0.3</v>
      </c>
      <c r="D8" s="131">
        <v>0.2</v>
      </c>
      <c r="E8" s="131">
        <v>0.15</v>
      </c>
      <c r="F8" s="131">
        <v>0.1</v>
      </c>
    </row>
    <row r="9" spans="1:8" x14ac:dyDescent="0.2">
      <c r="A9" s="6" t="s">
        <v>1011</v>
      </c>
      <c r="B9" s="130">
        <v>1</v>
      </c>
      <c r="C9" s="131">
        <v>3</v>
      </c>
      <c r="D9" s="131">
        <v>4</v>
      </c>
      <c r="E9" s="131">
        <v>6</v>
      </c>
      <c r="F9" s="131">
        <v>8</v>
      </c>
    </row>
    <row r="10" spans="1:8" x14ac:dyDescent="0.2">
      <c r="A10" s="6" t="s">
        <v>1012</v>
      </c>
      <c r="B10" s="130">
        <v>0</v>
      </c>
      <c r="C10" s="131">
        <v>1</v>
      </c>
      <c r="D10" s="131">
        <v>2.5</v>
      </c>
      <c r="E10" s="131">
        <v>4.5</v>
      </c>
      <c r="F10" s="131">
        <v>7</v>
      </c>
    </row>
    <row r="13" spans="1:8" x14ac:dyDescent="0.2">
      <c r="A13" s="25" t="s">
        <v>1013</v>
      </c>
    </row>
    <row r="14" spans="1:8" x14ac:dyDescent="0.2">
      <c r="A14" s="6" t="s">
        <v>1014</v>
      </c>
      <c r="B14" s="139">
        <f>'Monthly P&amp;L'!N11</f>
        <v>1256</v>
      </c>
      <c r="C14" s="19">
        <f>ROUND(B14*(1+C6),0)</f>
        <v>2763</v>
      </c>
      <c r="D14" s="19">
        <f>ROUND(C14*(1+D6),0)</f>
        <v>5112</v>
      </c>
      <c r="E14" s="19">
        <f>ROUND(D14*(1+E6),0)</f>
        <v>8179</v>
      </c>
      <c r="F14" s="19">
        <f>ROUND(E14*(1+F6),0)</f>
        <v>11860</v>
      </c>
      <c r="G14" s="24">
        <f>(F14/B14)^(1/4)-1</f>
        <v>0.75296708850841831</v>
      </c>
    </row>
    <row r="15" spans="1:8" x14ac:dyDescent="0.2">
      <c r="A15" s="6" t="s">
        <v>1015</v>
      </c>
      <c r="B15" s="19">
        <f>'Monthly P&amp;L'!O6/2</f>
        <v>958</v>
      </c>
      <c r="C15" s="19">
        <f>ROUND((B14+C14)/2,0)</f>
        <v>2010</v>
      </c>
      <c r="D15" s="19">
        <f>ROUND((C14+D14)/2,0)</f>
        <v>3938</v>
      </c>
      <c r="E15" s="19">
        <f>ROUND((D14+E14)/2,0)</f>
        <v>6646</v>
      </c>
      <c r="F15" s="19">
        <f>ROUND((E14+F14)/2,0)</f>
        <v>10020</v>
      </c>
    </row>
    <row r="16" spans="1:8" x14ac:dyDescent="0.2">
      <c r="A16" s="6" t="s">
        <v>1016</v>
      </c>
      <c r="B16" s="153">
        <f>Assumptions!B50</f>
        <v>32.25</v>
      </c>
      <c r="C16" s="152">
        <f>B16*(1+C7)</f>
        <v>33.862500000000004</v>
      </c>
      <c r="D16" s="152">
        <f>C16*(1+D7)</f>
        <v>36.232875000000007</v>
      </c>
      <c r="E16" s="152">
        <f>D16*(1+E7)</f>
        <v>38.044518750000009</v>
      </c>
      <c r="F16" s="152">
        <f>E16*(1+F7)</f>
        <v>39.185854312500012</v>
      </c>
    </row>
    <row r="17" spans="1:8" x14ac:dyDescent="0.2">
      <c r="A17" s="6" t="s">
        <v>1017</v>
      </c>
      <c r="B17" s="130">
        <v>5</v>
      </c>
      <c r="C17" s="130">
        <v>9</v>
      </c>
      <c r="D17" s="130">
        <v>15</v>
      </c>
      <c r="E17" s="130">
        <v>22</v>
      </c>
      <c r="F17" s="130">
        <v>30</v>
      </c>
    </row>
    <row r="20" spans="1:8" x14ac:dyDescent="0.2">
      <c r="A20" s="25" t="s">
        <v>723</v>
      </c>
    </row>
    <row r="21" spans="1:8" x14ac:dyDescent="0.2">
      <c r="A21" s="6" t="s">
        <v>875</v>
      </c>
      <c r="B21" s="139">
        <f>'Monthly P&amp;L'!O23</f>
        <v>143881.25</v>
      </c>
      <c r="C21" s="19">
        <f>C15*C16*12</f>
        <v>816763.50000000023</v>
      </c>
      <c r="D21" s="19">
        <f>D15*D16*12</f>
        <v>1712220.7410000004</v>
      </c>
      <c r="E21" s="19">
        <f>E15*E16*12</f>
        <v>3034126.4593500006</v>
      </c>
      <c r="F21" s="19">
        <f>F15*F16*12</f>
        <v>4711707.1225350015</v>
      </c>
      <c r="H21" s="136">
        <f>SUM(B21:F21)</f>
        <v>10418699.072885003</v>
      </c>
    </row>
    <row r="22" spans="1:8" x14ac:dyDescent="0.2">
      <c r="A22" s="6" t="s">
        <v>1018</v>
      </c>
      <c r="B22" s="19">
        <v>0</v>
      </c>
      <c r="C22" s="19">
        <f>C15*C10*12</f>
        <v>24120</v>
      </c>
      <c r="D22" s="19">
        <f>D15*D10*12</f>
        <v>118140</v>
      </c>
      <c r="E22" s="19">
        <f>E15*E10*12</f>
        <v>358884</v>
      </c>
      <c r="F22" s="19">
        <f>F15*F10*12</f>
        <v>841680</v>
      </c>
      <c r="H22" s="136">
        <f>SUM(B22:F22)</f>
        <v>1342824</v>
      </c>
    </row>
    <row r="23" spans="1:8" x14ac:dyDescent="0.2">
      <c r="A23" s="7" t="s">
        <v>730</v>
      </c>
      <c r="B23" s="20">
        <f>B21+B22</f>
        <v>143881.25</v>
      </c>
      <c r="C23" s="20">
        <f>C21+C22</f>
        <v>840883.50000000023</v>
      </c>
      <c r="D23" s="20">
        <f>D21+D22</f>
        <v>1830360.7410000004</v>
      </c>
      <c r="E23" s="20">
        <f>E21+E22</f>
        <v>3393010.4593500006</v>
      </c>
      <c r="F23" s="20">
        <f>F21+F22</f>
        <v>5553387.1225350015</v>
      </c>
      <c r="G23" s="169">
        <f>(F23/B23)^(1/4)-1</f>
        <v>1.4925187654401308</v>
      </c>
      <c r="H23" s="20">
        <f>SUM(B23:F23)</f>
        <v>11761523.072885003</v>
      </c>
    </row>
    <row r="24" spans="1:8" x14ac:dyDescent="0.2">
      <c r="A24" s="6" t="s">
        <v>1019</v>
      </c>
      <c r="B24" s="14" t="s">
        <v>106</v>
      </c>
      <c r="C24" s="24">
        <f>(C23-B23)/B23</f>
        <v>4.8442882585465457</v>
      </c>
      <c r="D24" s="24">
        <f>(D23-C23)/C23</f>
        <v>1.1767114481375838</v>
      </c>
      <c r="E24" s="24">
        <f>(E23-D23)/D23</f>
        <v>0.85373865563586182</v>
      </c>
      <c r="F24" s="24">
        <f>(F23-E23)/E23</f>
        <v>0.63671382362872664</v>
      </c>
    </row>
    <row r="27" spans="1:8" x14ac:dyDescent="0.2">
      <c r="A27" s="25" t="s">
        <v>1020</v>
      </c>
    </row>
    <row r="28" spans="1:8" x14ac:dyDescent="0.2">
      <c r="A28" s="6" t="s">
        <v>1021</v>
      </c>
      <c r="B28" s="139">
        <f>'Monthly P&amp;L'!O26</f>
        <v>1510.7531249999997</v>
      </c>
      <c r="C28" s="19">
        <f>C23*Assumptions!$B$13*Assumptions!$B$14</f>
        <v>8829.2767500000009</v>
      </c>
      <c r="D28" s="19">
        <f>D23*Assumptions!$B$13*Assumptions!$B$14</f>
        <v>19218.787780500003</v>
      </c>
      <c r="E28" s="19">
        <f>E23*Assumptions!$B$13*Assumptions!$B$14</f>
        <v>35626.609823175</v>
      </c>
      <c r="F28" s="19">
        <f>F23*Assumptions!$B$13*Assumptions!$B$14</f>
        <v>58310.564786617506</v>
      </c>
      <c r="H28" s="19">
        <f>SUM(B28:F28)</f>
        <v>123495.9922652925</v>
      </c>
    </row>
    <row r="29" spans="1:8" x14ac:dyDescent="0.2">
      <c r="A29" s="6" t="s">
        <v>733</v>
      </c>
      <c r="B29" s="139">
        <f>'Monthly P&amp;L'!O27</f>
        <v>62409.750000000007</v>
      </c>
      <c r="C29" s="19">
        <f>C15*Assumptions!$B$59*12</f>
        <v>208638</v>
      </c>
      <c r="D29" s="19">
        <f>D15*Assumptions!$B$59*12</f>
        <v>408764.4</v>
      </c>
      <c r="E29" s="19">
        <f>E15*Assumptions!$B$59*12</f>
        <v>689854.8</v>
      </c>
      <c r="F29" s="19">
        <f>F15*Assumptions!$B$59*12</f>
        <v>1040076</v>
      </c>
      <c r="H29" s="19">
        <f>SUM(B29:F29)</f>
        <v>2409742.9500000002</v>
      </c>
    </row>
    <row r="30" spans="1:8" x14ac:dyDescent="0.2">
      <c r="A30" s="6" t="s">
        <v>1022</v>
      </c>
      <c r="B30" s="139">
        <f>'Monthly P&amp;L'!O28+'Monthly P&amp;L'!O29+'Monthly P&amp;L'!O30</f>
        <v>31690.899787548795</v>
      </c>
      <c r="C30" s="19">
        <f>ROUND(B30*(C15/B15)^0.6,0)</f>
        <v>49435</v>
      </c>
      <c r="D30" s="19">
        <f>ROUND(C30*(D15/C15)^0.6,0)</f>
        <v>74009</v>
      </c>
      <c r="E30" s="19">
        <f>ROUND(D30*(E15/D15)^0.6,0)</f>
        <v>101311</v>
      </c>
      <c r="F30" s="19">
        <f>ROUND(E30*(F15/E15)^0.6,0)</f>
        <v>129611</v>
      </c>
      <c r="H30" s="19">
        <f>SUM(B30:F30)</f>
        <v>386056.89978754881</v>
      </c>
    </row>
    <row r="31" spans="1:8" x14ac:dyDescent="0.2">
      <c r="A31" s="6" t="s">
        <v>738</v>
      </c>
      <c r="B31" s="139">
        <f>'Monthly P&amp;L'!O31</f>
        <v>28740</v>
      </c>
      <c r="C31" s="19">
        <f>ROUND((C14-B14+C14*0.15)*Assumptions!$B$67,0)</f>
        <v>28822</v>
      </c>
      <c r="D31" s="19">
        <f>ROUND((D14-C14+D14*0.12)*Assumptions!$B$67,0)</f>
        <v>44437</v>
      </c>
      <c r="E31" s="19">
        <f>ROUND((E14-D14+E14*0.1)*Assumptions!$B$67,0)</f>
        <v>58274</v>
      </c>
      <c r="F31" s="19">
        <f>ROUND((F14-E14+F14*0.08)*Assumptions!$B$67,0)</f>
        <v>69447</v>
      </c>
      <c r="H31" s="19">
        <f>SUM(B31:F31)</f>
        <v>229720</v>
      </c>
    </row>
    <row r="32" spans="1:8" x14ac:dyDescent="0.2">
      <c r="A32" s="7" t="s">
        <v>740</v>
      </c>
      <c r="B32" s="136">
        <f>SUM(B28:B31)</f>
        <v>124351.4029125488</v>
      </c>
      <c r="C32" s="136">
        <f>SUM(C28:C31)</f>
        <v>295724.27674999996</v>
      </c>
      <c r="D32" s="136">
        <f>SUM(D28:D31)</f>
        <v>546429.18778050004</v>
      </c>
      <c r="E32" s="136">
        <f>SUM(E28:E31)</f>
        <v>885066.40982317505</v>
      </c>
      <c r="F32" s="136">
        <f>SUM(F28:F31)</f>
        <v>1297444.5647866174</v>
      </c>
      <c r="H32" s="136">
        <f>SUM(B32:F32)</f>
        <v>3149015.8420528416</v>
      </c>
    </row>
    <row r="34" spans="1:8" x14ac:dyDescent="0.2">
      <c r="A34" s="7" t="s">
        <v>741</v>
      </c>
      <c r="B34" s="30">
        <f>B23-B32</f>
        <v>19529.847087451199</v>
      </c>
      <c r="C34" s="30">
        <f>C23-C32</f>
        <v>545159.22325000027</v>
      </c>
      <c r="D34" s="30">
        <f>D23-D32</f>
        <v>1283931.5532195005</v>
      </c>
      <c r="E34" s="30">
        <f>E23-E32</f>
        <v>2507944.0495268255</v>
      </c>
      <c r="F34" s="30">
        <f>F23-F32</f>
        <v>4255942.5577483838</v>
      </c>
      <c r="H34" s="136">
        <f>SUM(B34:F34)</f>
        <v>8612507.2308321614</v>
      </c>
    </row>
    <row r="35" spans="1:8" x14ac:dyDescent="0.2">
      <c r="A35" s="6" t="s">
        <v>54</v>
      </c>
      <c r="B35" s="24">
        <f>IF(B23=0,0,B34/B23)</f>
        <v>0.13573587307207297</v>
      </c>
      <c r="C35" s="24">
        <f>IF(C23=0,0,C34/C23)</f>
        <v>0.64831718454458931</v>
      </c>
      <c r="D35" s="24">
        <f>IF(D23=0,0,D34/D23)</f>
        <v>0.70146366476262845</v>
      </c>
      <c r="E35" s="24">
        <f>IF(E23=0,0,E34/E23)</f>
        <v>0.73915010860510955</v>
      </c>
      <c r="F35" s="24">
        <f>IF(F23=0,0,F34/F23)</f>
        <v>0.76636878788411167</v>
      </c>
    </row>
    <row r="37" spans="1:8" x14ac:dyDescent="0.2">
      <c r="A37" s="5" t="s">
        <v>1023</v>
      </c>
      <c r="B37" s="2"/>
      <c r="C37" s="2"/>
      <c r="D37" s="2"/>
      <c r="E37" s="2"/>
      <c r="F37" s="2"/>
      <c r="G37" s="2"/>
      <c r="H37" s="2"/>
    </row>
    <row r="38" spans="1:8" x14ac:dyDescent="0.2">
      <c r="A38" s="6" t="s">
        <v>744</v>
      </c>
      <c r="B38" s="139">
        <f>'Monthly P&amp;L'!O38</f>
        <v>90000</v>
      </c>
      <c r="C38" s="19">
        <f t="shared" ref="C38:C43" si="0">ROUND(B38*1.3,0)</f>
        <v>117000</v>
      </c>
      <c r="D38" s="19">
        <f t="shared" ref="D38:D43" si="1">ROUND(C38*1.2,0)</f>
        <v>140400</v>
      </c>
      <c r="E38" s="19">
        <f t="shared" ref="E38:E43" si="2">ROUND(D38*1.15,0)</f>
        <v>161460</v>
      </c>
      <c r="F38" s="19">
        <f t="shared" ref="F38:F43" si="3">ROUND(E38*1.1,0)</f>
        <v>177606</v>
      </c>
      <c r="H38" s="19">
        <f t="shared" ref="H38:H45" si="4">SUM(B38:F38)</f>
        <v>686466</v>
      </c>
    </row>
    <row r="39" spans="1:8" x14ac:dyDescent="0.2">
      <c r="A39" s="6" t="s">
        <v>745</v>
      </c>
      <c r="B39" s="139">
        <f>'Monthly P&amp;L'!O39</f>
        <v>43290</v>
      </c>
      <c r="C39" s="19">
        <f t="shared" si="0"/>
        <v>56277</v>
      </c>
      <c r="D39" s="19">
        <f t="shared" si="1"/>
        <v>67532</v>
      </c>
      <c r="E39" s="19">
        <f t="shared" si="2"/>
        <v>77662</v>
      </c>
      <c r="F39" s="19">
        <f t="shared" si="3"/>
        <v>85428</v>
      </c>
      <c r="H39" s="19">
        <f t="shared" si="4"/>
        <v>330189</v>
      </c>
    </row>
    <row r="40" spans="1:8" x14ac:dyDescent="0.2">
      <c r="A40" s="6" t="s">
        <v>746</v>
      </c>
      <c r="B40" s="139">
        <f>'Monthly P&amp;L'!O40</f>
        <v>57480</v>
      </c>
      <c r="C40" s="19">
        <f t="shared" si="0"/>
        <v>74724</v>
      </c>
      <c r="D40" s="19">
        <f t="shared" si="1"/>
        <v>89669</v>
      </c>
      <c r="E40" s="19">
        <f t="shared" si="2"/>
        <v>103119</v>
      </c>
      <c r="F40" s="19">
        <f t="shared" si="3"/>
        <v>113431</v>
      </c>
      <c r="H40" s="19">
        <f t="shared" si="4"/>
        <v>438423</v>
      </c>
    </row>
    <row r="41" spans="1:8" x14ac:dyDescent="0.2">
      <c r="A41" s="6" t="s">
        <v>747</v>
      </c>
      <c r="B41" s="139">
        <f>'Monthly P&amp;L'!O41</f>
        <v>36000</v>
      </c>
      <c r="C41" s="19">
        <f t="shared" si="0"/>
        <v>46800</v>
      </c>
      <c r="D41" s="19">
        <f t="shared" si="1"/>
        <v>56160</v>
      </c>
      <c r="E41" s="19">
        <f t="shared" si="2"/>
        <v>64584</v>
      </c>
      <c r="F41" s="19">
        <f t="shared" si="3"/>
        <v>71042</v>
      </c>
      <c r="H41" s="19">
        <f t="shared" si="4"/>
        <v>274586</v>
      </c>
    </row>
    <row r="42" spans="1:8" x14ac:dyDescent="0.2">
      <c r="A42" s="6" t="s">
        <v>748</v>
      </c>
      <c r="B42" s="139">
        <f>'Monthly P&amp;L'!O42</f>
        <v>132999.99999999997</v>
      </c>
      <c r="C42" s="19">
        <f t="shared" si="0"/>
        <v>172900</v>
      </c>
      <c r="D42" s="19">
        <f t="shared" si="1"/>
        <v>207480</v>
      </c>
      <c r="E42" s="19">
        <f t="shared" si="2"/>
        <v>238602</v>
      </c>
      <c r="F42" s="19">
        <f t="shared" si="3"/>
        <v>262462</v>
      </c>
      <c r="H42" s="19">
        <f t="shared" si="4"/>
        <v>1014444</v>
      </c>
    </row>
    <row r="43" spans="1:8" x14ac:dyDescent="0.2">
      <c r="A43" s="168" t="s">
        <v>749</v>
      </c>
      <c r="B43" s="139">
        <f>'Monthly P&amp;L'!O43</f>
        <v>4800</v>
      </c>
      <c r="C43" s="19">
        <f t="shared" si="0"/>
        <v>6240</v>
      </c>
      <c r="D43" s="19">
        <f t="shared" si="1"/>
        <v>7488</v>
      </c>
      <c r="E43" s="19">
        <f t="shared" si="2"/>
        <v>8611</v>
      </c>
      <c r="F43" s="19">
        <f t="shared" si="3"/>
        <v>9472</v>
      </c>
      <c r="H43" s="19">
        <f t="shared" si="4"/>
        <v>36611</v>
      </c>
    </row>
    <row r="44" spans="1:8" x14ac:dyDescent="0.2">
      <c r="A44" s="174" t="s">
        <v>1024</v>
      </c>
      <c r="B44" s="159">
        <f>'Monthly P&amp;L'!O45-'Monthly P&amp;L'!O44</f>
        <v>364570</v>
      </c>
      <c r="C44" s="136">
        <v>0</v>
      </c>
      <c r="D44" s="136">
        <v>0</v>
      </c>
      <c r="E44" s="136">
        <v>0</v>
      </c>
      <c r="F44" s="136">
        <v>0</v>
      </c>
      <c r="H44" s="136">
        <f t="shared" si="4"/>
        <v>364570</v>
      </c>
    </row>
    <row r="45" spans="1:8" x14ac:dyDescent="0.2">
      <c r="A45" s="174" t="s">
        <v>58</v>
      </c>
      <c r="B45" s="159">
        <f>SUM(B38:B44)</f>
        <v>729140</v>
      </c>
      <c r="C45" s="136">
        <f>SUM(C38:C44)</f>
        <v>473941</v>
      </c>
      <c r="D45" s="136">
        <f>SUM(D38:D44)</f>
        <v>568729</v>
      </c>
      <c r="E45" s="136">
        <f>SUM(E38:E44)</f>
        <v>654038</v>
      </c>
      <c r="F45" s="136">
        <f>SUM(F38:F44)</f>
        <v>719441</v>
      </c>
      <c r="H45" s="136">
        <f t="shared" si="4"/>
        <v>3145289</v>
      </c>
    </row>
    <row r="47" spans="1:8" x14ac:dyDescent="0.2">
      <c r="A47" s="21" t="s">
        <v>752</v>
      </c>
      <c r="B47" s="170">
        <f>B34-B45</f>
        <v>-709610.15291254874</v>
      </c>
      <c r="C47" s="170">
        <f>C34-C45</f>
        <v>71218.223250000272</v>
      </c>
      <c r="D47" s="170">
        <f>D34-D45</f>
        <v>715202.55321950046</v>
      </c>
      <c r="E47" s="170">
        <f>E34-E45</f>
        <v>1853906.0495268255</v>
      </c>
      <c r="F47" s="170">
        <f>F34-F45</f>
        <v>3536501.5577483838</v>
      </c>
      <c r="G47" s="1"/>
      <c r="H47" s="170">
        <f>SUM(B47:F47)</f>
        <v>5467218.2308321614</v>
      </c>
    </row>
    <row r="48" spans="1:8" x14ac:dyDescent="0.2">
      <c r="A48" s="6" t="s">
        <v>1025</v>
      </c>
      <c r="B48" s="24">
        <f>IF(B23=0,0,B47/B23)</f>
        <v>-4.9319154018508229</v>
      </c>
      <c r="C48" s="24">
        <f>IF(C23=0,0,C47/C23)</f>
        <v>8.469451862237784E-2</v>
      </c>
      <c r="D48" s="24">
        <f>IF(D23=0,0,D47/D23)</f>
        <v>0.39074404143346969</v>
      </c>
      <c r="E48" s="24">
        <f>IF(E23=0,0,E47/E23)</f>
        <v>0.54638972432816446</v>
      </c>
      <c r="F48" s="24">
        <f>IF(F23=0,0,F47/F23)</f>
        <v>0.63681884221571194</v>
      </c>
    </row>
    <row r="50" spans="1:8" x14ac:dyDescent="0.2">
      <c r="A50" s="6" t="s">
        <v>1026</v>
      </c>
      <c r="B50" s="139">
        <f>'Monthly P&amp;L'!O50</f>
        <v>11666.66666666667</v>
      </c>
      <c r="C50" s="19">
        <f>ROUND(B50*1.15,0)</f>
        <v>13417</v>
      </c>
      <c r="D50" s="19">
        <f>ROUND(C50*1.1,0)</f>
        <v>14759</v>
      </c>
      <c r="E50" s="19">
        <f>ROUND(D50*1.08,0)</f>
        <v>15940</v>
      </c>
      <c r="F50" s="19">
        <f>ROUND(E50*1.05,0)</f>
        <v>16737</v>
      </c>
      <c r="H50" s="19">
        <f>SUM(B50:F50)</f>
        <v>72519.666666666672</v>
      </c>
    </row>
    <row r="51" spans="1:8" x14ac:dyDescent="0.2">
      <c r="A51" s="6" t="s">
        <v>1027</v>
      </c>
      <c r="B51" s="139">
        <f>'Monthly P&amp;L'!O51</f>
        <v>0</v>
      </c>
      <c r="C51" s="19">
        <f>ROUND(B51*0.85,0)</f>
        <v>0</v>
      </c>
      <c r="D51" s="19">
        <f>ROUND(C51*0.7,0)</f>
        <v>0</v>
      </c>
      <c r="E51" s="19">
        <f>ROUND(D51*0.5,0)</f>
        <v>0</v>
      </c>
      <c r="F51" s="19">
        <f>ROUND(E51*0.3,0)</f>
        <v>0</v>
      </c>
      <c r="H51" s="19">
        <f>SUM(B51:F51)</f>
        <v>0</v>
      </c>
    </row>
    <row r="53" spans="1:8" x14ac:dyDescent="0.2">
      <c r="A53" s="21" t="s">
        <v>1028</v>
      </c>
      <c r="B53" s="170">
        <f>B47-B50-B51</f>
        <v>-721276.81957921537</v>
      </c>
      <c r="C53" s="170">
        <f>C47-C50-C51</f>
        <v>57801.223250000272</v>
      </c>
      <c r="D53" s="170">
        <f>D47-D50-D51</f>
        <v>700443.55321950046</v>
      </c>
      <c r="E53" s="170">
        <f>E47-E50-E51</f>
        <v>1837966.0495268255</v>
      </c>
      <c r="F53" s="170">
        <f>F47-F50-F51</f>
        <v>3519764.5577483838</v>
      </c>
      <c r="G53" s="1"/>
      <c r="H53" s="170">
        <f>SUM(B53:F53)</f>
        <v>5394698.5641654953</v>
      </c>
    </row>
    <row r="54" spans="1:8" x14ac:dyDescent="0.2">
      <c r="A54" s="6" t="s">
        <v>1029</v>
      </c>
      <c r="B54" s="24">
        <f>IF(B23=0,0,B53/B23)</f>
        <v>-5.0130007876579841</v>
      </c>
      <c r="C54" s="24">
        <f>IF(C23=0,0,C53/C23)</f>
        <v>6.8738681696097328E-2</v>
      </c>
      <c r="D54" s="24">
        <f>IF(D23=0,0,D53/D23)</f>
        <v>0.38268060362615719</v>
      </c>
      <c r="E54" s="24">
        <f>IF(E23=0,0,E53/E23)</f>
        <v>0.54169183135348331</v>
      </c>
      <c r="F54" s="24">
        <f>IF(F23=0,0,F53/F23)</f>
        <v>0.63380500586130351</v>
      </c>
    </row>
    <row r="55" spans="1:8" x14ac:dyDescent="0.2">
      <c r="A55" s="7" t="s">
        <v>1030</v>
      </c>
      <c r="B55" s="30">
        <f>B53</f>
        <v>-721276.81957921537</v>
      </c>
      <c r="C55" s="30">
        <f>B55+C53</f>
        <v>-663475.5963292151</v>
      </c>
      <c r="D55" s="30">
        <f>C55+D53</f>
        <v>36967.956890285364</v>
      </c>
      <c r="E55" s="30">
        <f>D55+E53</f>
        <v>1874934.006417111</v>
      </c>
      <c r="F55" s="30">
        <f>E55+F53</f>
        <v>5394698.5641654953</v>
      </c>
      <c r="H55" s="30">
        <f>F55</f>
        <v>5394698.5641654953</v>
      </c>
    </row>
    <row r="57" spans="1:8" x14ac:dyDescent="0.2">
      <c r="A57" s="5" t="s">
        <v>1031</v>
      </c>
      <c r="B57" s="2"/>
      <c r="C57" s="2"/>
      <c r="D57" s="2"/>
      <c r="E57" s="2"/>
      <c r="F57" s="2"/>
      <c r="G57" s="2"/>
      <c r="H57" s="2"/>
    </row>
    <row r="58" spans="1:8" x14ac:dyDescent="0.2">
      <c r="A58" s="6" t="s">
        <v>1032</v>
      </c>
      <c r="B58" s="19">
        <f>IF(B15=0,0,B23/B15)</f>
        <v>150.18919624217119</v>
      </c>
      <c r="C58" s="19">
        <f>IF(C15=0,0,C23/C15)</f>
        <v>418.35000000000014</v>
      </c>
      <c r="D58" s="19">
        <f>IF(D15=0,0,D23/D15)</f>
        <v>464.79450000000008</v>
      </c>
      <c r="E58" s="19">
        <f>IF(E15=0,0,E23/E15)</f>
        <v>510.53422500000011</v>
      </c>
      <c r="F58" s="19">
        <f>IF(F15=0,0,F23/F15)</f>
        <v>554.23025175000009</v>
      </c>
    </row>
    <row r="59" spans="1:8" x14ac:dyDescent="0.2">
      <c r="A59" s="6" t="s">
        <v>1033</v>
      </c>
      <c r="B59" s="24">
        <f>IF(B23=0,0,B32/B23)</f>
        <v>0.86426412692792698</v>
      </c>
      <c r="C59" s="24">
        <f>IF(C23=0,0,C32/C23)</f>
        <v>0.35168281545541075</v>
      </c>
      <c r="D59" s="24">
        <f>IF(D23=0,0,D32/D23)</f>
        <v>0.29853633523737161</v>
      </c>
      <c r="E59" s="24">
        <f>IF(E23=0,0,E32/E23)</f>
        <v>0.26084989139489045</v>
      </c>
      <c r="F59" s="24">
        <f>IF(F23=0,0,F32/F23)</f>
        <v>0.23363121211588828</v>
      </c>
    </row>
    <row r="60" spans="1:8" x14ac:dyDescent="0.2">
      <c r="A60" s="6" t="s">
        <v>1034</v>
      </c>
      <c r="B60" s="24">
        <f>IF(B23=0,0,B45/B23)</f>
        <v>5.0676512749228966</v>
      </c>
      <c r="C60" s="24">
        <f>IF(C23=0,0,C45/C23)</f>
        <v>0.56362266592221144</v>
      </c>
      <c r="D60" s="24">
        <f>IF(D23=0,0,D45/D23)</f>
        <v>0.31071962332915876</v>
      </c>
      <c r="E60" s="24">
        <f>IF(E23=0,0,E45/E23)</f>
        <v>0.19276038427694506</v>
      </c>
      <c r="F60" s="24">
        <f>IF(F23=0,0,F45/F23)</f>
        <v>0.1295499456683997</v>
      </c>
    </row>
    <row r="61" spans="1:8" x14ac:dyDescent="0.2">
      <c r="A61" s="6" t="s">
        <v>1035</v>
      </c>
      <c r="B61" s="14" t="s">
        <v>138</v>
      </c>
      <c r="C61" s="24">
        <f>(C23-B23)/B23</f>
        <v>4.8442882585465457</v>
      </c>
      <c r="D61" s="24">
        <f>(D23-C23)/C23</f>
        <v>1.1767114481375838</v>
      </c>
      <c r="E61" s="24">
        <f>(E23-D23)/D23</f>
        <v>0.85373865563586182</v>
      </c>
      <c r="F61" s="24">
        <f>(F23-E23)/E23</f>
        <v>0.63671382362872664</v>
      </c>
    </row>
    <row r="62" spans="1:8" x14ac:dyDescent="0.2">
      <c r="A62" s="7" t="s">
        <v>1036</v>
      </c>
      <c r="B62" s="12" t="str">
        <f>IF(B53&gt;0,"Year 1",IF(C53&gt;0,"Year 2",IF(D53&gt;0,"Year 3",IF(E53&gt;0,"Year 4",IF(F53&gt;0,"Year 5","Beyond Y5")))))</f>
        <v>Year 2</v>
      </c>
    </row>
    <row r="63" spans="1:8" x14ac:dyDescent="0.2">
      <c r="A63" s="7" t="s">
        <v>1037</v>
      </c>
      <c r="B63" s="12" t="str">
        <f>IF(B55&gt;0,"Year 1",IF(C55&gt;0,"Year 2",IF(D55&gt;0,"Year 3",IF(E55&gt;0,"Year 4",IF(F55&gt;0,"Year 5","Beyond Y5")))))</f>
        <v>Year 3</v>
      </c>
    </row>
    <row r="65" spans="1:8" x14ac:dyDescent="0.2">
      <c r="A65" s="21" t="s">
        <v>1038</v>
      </c>
      <c r="B65" s="1"/>
      <c r="C65" s="1"/>
      <c r="D65" s="1"/>
      <c r="E65" s="1"/>
      <c r="F65" s="1"/>
      <c r="G65" s="1"/>
      <c r="H65" s="1"/>
    </row>
    <row r="66" spans="1:8" x14ac:dyDescent="0.2">
      <c r="A66" s="7" t="s">
        <v>1039</v>
      </c>
      <c r="B66" s="136">
        <f>H23</f>
        <v>11761523.072885003</v>
      </c>
    </row>
    <row r="67" spans="1:8" x14ac:dyDescent="0.2">
      <c r="A67" s="7" t="s">
        <v>1040</v>
      </c>
      <c r="B67" s="30">
        <f>H53</f>
        <v>5394698.5641654953</v>
      </c>
    </row>
    <row r="68" spans="1:8" x14ac:dyDescent="0.2">
      <c r="A68" s="7" t="s">
        <v>1041</v>
      </c>
      <c r="B68" s="169">
        <f>(F23/B23)^(1/4)-1</f>
        <v>1.4925187654401308</v>
      </c>
    </row>
    <row r="71" spans="1:8" ht="19" customHeight="1" x14ac:dyDescent="0.25">
      <c r="A71" s="171" t="s">
        <v>1042</v>
      </c>
      <c r="B71" s="3"/>
      <c r="C71" s="3"/>
      <c r="D71" s="3"/>
      <c r="E71" s="3"/>
      <c r="F71" s="3"/>
      <c r="G71" s="3"/>
      <c r="H71" s="3"/>
    </row>
    <row r="73" spans="1:8" x14ac:dyDescent="0.2">
      <c r="A73" s="5" t="s">
        <v>1043</v>
      </c>
      <c r="B73" s="172" t="s">
        <v>1044</v>
      </c>
      <c r="C73" s="172" t="s">
        <v>1045</v>
      </c>
      <c r="D73" s="172" t="s">
        <v>1046</v>
      </c>
      <c r="E73" s="172" t="s">
        <v>1047</v>
      </c>
      <c r="F73" s="2"/>
      <c r="G73" s="2"/>
      <c r="H73" s="2"/>
    </row>
    <row r="74" spans="1:8" x14ac:dyDescent="0.2">
      <c r="A74" s="6" t="s">
        <v>1048</v>
      </c>
      <c r="B74" s="19">
        <f>F15</f>
        <v>10020</v>
      </c>
      <c r="C74" s="134">
        <v>23000</v>
      </c>
      <c r="D74" s="146">
        <f>C74-B74</f>
        <v>12980</v>
      </c>
      <c r="E74" s="6" t="s">
        <v>1049</v>
      </c>
    </row>
    <row r="75" spans="1:8" x14ac:dyDescent="0.2">
      <c r="A75" s="6" t="s">
        <v>1050</v>
      </c>
      <c r="B75" s="19">
        <f>B23</f>
        <v>143881.25</v>
      </c>
      <c r="C75" s="134">
        <v>533613</v>
      </c>
      <c r="D75" s="146">
        <f>C75-B75</f>
        <v>389731.75</v>
      </c>
      <c r="E75" s="6" t="s">
        <v>1051</v>
      </c>
    </row>
    <row r="76" spans="1:8" x14ac:dyDescent="0.2">
      <c r="A76" s="6" t="s">
        <v>1052</v>
      </c>
      <c r="B76" s="19">
        <f>F23</f>
        <v>5553387.1225350015</v>
      </c>
      <c r="C76" s="134">
        <v>8000000</v>
      </c>
      <c r="D76" s="146">
        <f>C76-B76</f>
        <v>2446612.8774649985</v>
      </c>
      <c r="E76" s="6" t="s">
        <v>1053</v>
      </c>
    </row>
    <row r="78" spans="1:8" x14ac:dyDescent="0.2">
      <c r="A78" s="5" t="s">
        <v>1054</v>
      </c>
      <c r="B78" s="172" t="s">
        <v>625</v>
      </c>
      <c r="C78" s="172" t="s">
        <v>1055</v>
      </c>
      <c r="D78" s="172" t="s">
        <v>1056</v>
      </c>
      <c r="E78" s="172" t="s">
        <v>1057</v>
      </c>
      <c r="F78" s="2"/>
      <c r="G78" s="2"/>
      <c r="H78" s="2"/>
    </row>
    <row r="79" spans="1:8" x14ac:dyDescent="0.2">
      <c r="A79" s="7" t="s">
        <v>1058</v>
      </c>
      <c r="B79" s="31" t="s">
        <v>1059</v>
      </c>
      <c r="C79" s="14" t="s">
        <v>1060</v>
      </c>
      <c r="D79" s="14" t="s">
        <v>1061</v>
      </c>
      <c r="E79" s="31" t="s">
        <v>1062</v>
      </c>
    </row>
    <row r="80" spans="1:8" x14ac:dyDescent="0.2">
      <c r="A80" s="173" t="s">
        <v>1063</v>
      </c>
    </row>
    <row r="81" spans="1:5" x14ac:dyDescent="0.2">
      <c r="A81" s="7" t="s">
        <v>1064</v>
      </c>
      <c r="B81" s="160" t="s">
        <v>1065</v>
      </c>
      <c r="C81" s="14" t="s">
        <v>1066</v>
      </c>
      <c r="D81" s="14" t="s">
        <v>1067</v>
      </c>
      <c r="E81" s="160" t="s">
        <v>1068</v>
      </c>
    </row>
    <row r="82" spans="1:5" x14ac:dyDescent="0.2">
      <c r="A82" s="173" t="s">
        <v>1069</v>
      </c>
    </row>
    <row r="83" spans="1:5" x14ac:dyDescent="0.2">
      <c r="A83" s="7" t="s">
        <v>1070</v>
      </c>
      <c r="B83" s="160" t="s">
        <v>1065</v>
      </c>
      <c r="C83" s="14" t="s">
        <v>1071</v>
      </c>
      <c r="D83" s="14" t="s">
        <v>1072</v>
      </c>
      <c r="E83" s="160" t="s">
        <v>1073</v>
      </c>
    </row>
    <row r="84" spans="1:5" x14ac:dyDescent="0.2">
      <c r="A84" s="173" t="s">
        <v>1074</v>
      </c>
    </row>
    <row r="85" spans="1:5" x14ac:dyDescent="0.2">
      <c r="A85" s="7" t="s">
        <v>1075</v>
      </c>
      <c r="B85" s="31" t="s">
        <v>1059</v>
      </c>
      <c r="C85" s="14" t="s">
        <v>1076</v>
      </c>
      <c r="D85" s="14" t="s">
        <v>1061</v>
      </c>
      <c r="E85" s="31" t="s">
        <v>1077</v>
      </c>
    </row>
    <row r="86" spans="1:5" x14ac:dyDescent="0.2">
      <c r="A86" s="173" t="s">
        <v>1078</v>
      </c>
    </row>
    <row r="87" spans="1:5" x14ac:dyDescent="0.2">
      <c r="A87" s="7" t="s">
        <v>1079</v>
      </c>
      <c r="B87" s="31" t="s">
        <v>1059</v>
      </c>
      <c r="C87" s="14" t="s">
        <v>1080</v>
      </c>
      <c r="D87" s="14" t="s">
        <v>1067</v>
      </c>
      <c r="E87" s="31" t="s">
        <v>1081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H72"/>
  <sheetViews>
    <sheetView zoomScale="111" zoomScaleNormal="125" workbookViewId="0">
      <selection activeCell="M64" sqref="M64"/>
    </sheetView>
  </sheetViews>
  <sheetFormatPr baseColWidth="10" defaultRowHeight="16" x14ac:dyDescent="0.2"/>
  <cols>
    <col min="1" max="1" width="41.6640625" customWidth="1"/>
    <col min="2" max="5" width="18.33203125" customWidth="1"/>
    <col min="6" max="6" width="28.33203125" bestFit="1" customWidth="1"/>
    <col min="7" max="7" width="21.6640625" customWidth="1"/>
  </cols>
  <sheetData>
    <row r="1" spans="1:8" ht="24" customHeight="1" x14ac:dyDescent="0.3">
      <c r="A1" s="26" t="s">
        <v>1082</v>
      </c>
      <c r="B1" s="1"/>
      <c r="C1" s="1"/>
      <c r="D1" s="1"/>
      <c r="E1" s="1"/>
      <c r="F1" s="1"/>
      <c r="G1" s="1"/>
      <c r="H1" s="1"/>
    </row>
    <row r="2" spans="1:8" x14ac:dyDescent="0.2">
      <c r="A2" s="173" t="s">
        <v>1083</v>
      </c>
    </row>
    <row r="4" spans="1:8" ht="18" customHeight="1" x14ac:dyDescent="0.25">
      <c r="A4" s="27" t="s">
        <v>1084</v>
      </c>
      <c r="B4" s="2"/>
      <c r="C4" s="2"/>
      <c r="D4" s="2"/>
      <c r="E4" s="2"/>
      <c r="F4" s="2"/>
      <c r="G4" s="2"/>
      <c r="H4" s="2"/>
    </row>
    <row r="6" spans="1:8" x14ac:dyDescent="0.2">
      <c r="A6" s="6" t="s">
        <v>1085</v>
      </c>
    </row>
    <row r="7" spans="1:8" x14ac:dyDescent="0.2">
      <c r="A7" s="6" t="s">
        <v>1086</v>
      </c>
    </row>
    <row r="8" spans="1:8" x14ac:dyDescent="0.2">
      <c r="A8" s="6" t="s">
        <v>1087</v>
      </c>
    </row>
    <row r="10" spans="1:8" ht="18" customHeight="1" x14ac:dyDescent="0.25">
      <c r="A10" s="27" t="s">
        <v>1088</v>
      </c>
      <c r="B10" s="2"/>
      <c r="C10" s="2"/>
      <c r="D10" s="2"/>
      <c r="E10" s="2"/>
      <c r="F10" s="2"/>
      <c r="G10" s="2"/>
      <c r="H10" s="2"/>
    </row>
    <row r="11" spans="1:8" x14ac:dyDescent="0.2">
      <c r="A11" s="8" t="s">
        <v>154</v>
      </c>
      <c r="B11" s="9" t="s">
        <v>367</v>
      </c>
      <c r="D11" s="8" t="s">
        <v>154</v>
      </c>
      <c r="E11" s="9" t="s">
        <v>367</v>
      </c>
    </row>
    <row r="12" spans="1:8" x14ac:dyDescent="0.2">
      <c r="A12" s="6" t="s">
        <v>370</v>
      </c>
      <c r="B12" s="14" t="s">
        <v>1089</v>
      </c>
      <c r="D12" s="6" t="s">
        <v>1090</v>
      </c>
      <c r="E12" s="14" t="s">
        <v>1091</v>
      </c>
    </row>
    <row r="13" spans="1:8" x14ac:dyDescent="0.2">
      <c r="A13" s="6" t="s">
        <v>1092</v>
      </c>
      <c r="B13" s="139">
        <f>Assumptions!B30</f>
        <v>25000</v>
      </c>
      <c r="D13" s="6" t="s">
        <v>1093</v>
      </c>
      <c r="E13" s="175">
        <v>5.1999999999999998E-2</v>
      </c>
    </row>
    <row r="14" spans="1:8" x14ac:dyDescent="0.2">
      <c r="A14" s="6" t="s">
        <v>1094</v>
      </c>
      <c r="B14" s="139">
        <f>Assumptions!B28</f>
        <v>250</v>
      </c>
      <c r="D14" s="6" t="s">
        <v>1095</v>
      </c>
      <c r="E14" s="14" t="s">
        <v>1096</v>
      </c>
    </row>
    <row r="16" spans="1:8" ht="18" customHeight="1" x14ac:dyDescent="0.25">
      <c r="A16" s="27" t="s">
        <v>1097</v>
      </c>
      <c r="B16" s="2"/>
      <c r="C16" s="2"/>
      <c r="D16" s="2"/>
      <c r="E16" s="2"/>
      <c r="F16" s="2"/>
      <c r="G16" s="2"/>
      <c r="H16" s="2"/>
    </row>
    <row r="17" spans="1:8" x14ac:dyDescent="0.2">
      <c r="A17" s="8" t="s">
        <v>95</v>
      </c>
      <c r="B17" s="9" t="s">
        <v>96</v>
      </c>
      <c r="C17" s="9" t="s">
        <v>1098</v>
      </c>
      <c r="D17" s="9" t="s">
        <v>1099</v>
      </c>
      <c r="E17" s="9" t="s">
        <v>1100</v>
      </c>
      <c r="F17" s="9" t="s">
        <v>1101</v>
      </c>
      <c r="G17" s="9" t="s">
        <v>1102</v>
      </c>
    </row>
    <row r="18" spans="1:8" x14ac:dyDescent="0.2">
      <c r="A18" s="6" t="s">
        <v>459</v>
      </c>
      <c r="B18" s="139">
        <f>Assumptions!B47</f>
        <v>20</v>
      </c>
      <c r="C18" s="176">
        <f>Assumptions!C47</f>
        <v>28.2</v>
      </c>
      <c r="D18" s="137">
        <f>Assumptions!E47</f>
        <v>8</v>
      </c>
      <c r="E18" s="138">
        <f>Assumptions!D47</f>
        <v>0.45</v>
      </c>
      <c r="F18" s="156">
        <f>'Tiered Plans'!B12</f>
        <v>4.057124310288867E-2</v>
      </c>
      <c r="G18" s="139">
        <f>'Unit Economics'!B10</f>
        <v>122.96000000000004</v>
      </c>
    </row>
    <row r="19" spans="1:8" x14ac:dyDescent="0.2">
      <c r="A19" s="6" t="s">
        <v>461</v>
      </c>
      <c r="B19" s="139">
        <f>Assumptions!B48</f>
        <v>35</v>
      </c>
      <c r="C19" s="176">
        <f>Assumptions!C48</f>
        <v>49.349999999999994</v>
      </c>
      <c r="D19" s="137">
        <f>Assumptions!E48</f>
        <v>9</v>
      </c>
      <c r="E19" s="138">
        <f>Assumptions!D48</f>
        <v>0.35</v>
      </c>
      <c r="F19" s="156">
        <f>'Tiered Plans'!C12</f>
        <v>6.311082260449348E-2</v>
      </c>
      <c r="G19" s="139">
        <f>'Unit Economics'!C10</f>
        <v>169.58000000000004</v>
      </c>
    </row>
    <row r="20" spans="1:8" x14ac:dyDescent="0.2">
      <c r="A20" s="6" t="s">
        <v>463</v>
      </c>
      <c r="B20" s="139">
        <f>Assumptions!B49</f>
        <v>55</v>
      </c>
      <c r="C20" s="176">
        <f>Assumptions!C49</f>
        <v>77.55</v>
      </c>
      <c r="D20" s="137">
        <f>Assumptions!E49</f>
        <v>12</v>
      </c>
      <c r="E20" s="138">
        <f>Assumptions!D49</f>
        <v>0.2</v>
      </c>
      <c r="F20" s="156">
        <f>'Tiered Plans'!D12</f>
        <v>7.4380612355295889E-2</v>
      </c>
      <c r="G20" s="139">
        <f>'Unit Economics'!D10</f>
        <v>334.44000000000005</v>
      </c>
    </row>
    <row r="21" spans="1:8" x14ac:dyDescent="0.2">
      <c r="A21" s="11" t="s">
        <v>1103</v>
      </c>
      <c r="B21" s="178">
        <f>Assumptions!B50</f>
        <v>32.25</v>
      </c>
      <c r="C21" s="179">
        <f>B21*Assumptions!$B$15</f>
        <v>45.472499999999997</v>
      </c>
      <c r="D21" s="177">
        <f>Assumptions!B9</f>
        <v>9</v>
      </c>
      <c r="E21" s="180">
        <v>1</v>
      </c>
      <c r="F21" s="4"/>
      <c r="G21" s="181">
        <f>'Unit Economics'!E10</f>
        <v>172.33000000000004</v>
      </c>
    </row>
    <row r="23" spans="1:8" x14ac:dyDescent="0.2">
      <c r="A23" s="173" t="s">
        <v>1104</v>
      </c>
    </row>
    <row r="25" spans="1:8" ht="18" customHeight="1" x14ac:dyDescent="0.25">
      <c r="A25" s="27" t="s">
        <v>421</v>
      </c>
      <c r="B25" s="2"/>
      <c r="C25" s="2"/>
      <c r="D25" s="2"/>
      <c r="E25" s="2"/>
      <c r="F25" s="2"/>
      <c r="G25" s="2"/>
      <c r="H25" s="2"/>
    </row>
    <row r="26" spans="1:8" x14ac:dyDescent="0.2">
      <c r="A26" s="8" t="s">
        <v>422</v>
      </c>
      <c r="B26" s="9" t="s">
        <v>423</v>
      </c>
      <c r="C26" s="9" t="s">
        <v>1105</v>
      </c>
      <c r="D26" s="9" t="s">
        <v>1099</v>
      </c>
      <c r="E26" s="9" t="s">
        <v>426</v>
      </c>
      <c r="F26" s="9" t="s">
        <v>1106</v>
      </c>
    </row>
    <row r="27" spans="1:8" x14ac:dyDescent="0.2">
      <c r="A27" s="6" t="s">
        <v>1107</v>
      </c>
      <c r="B27" s="14" t="s">
        <v>428</v>
      </c>
      <c r="C27" s="139">
        <f>Assumptions!C34</f>
        <v>0</v>
      </c>
      <c r="D27" s="137" t="str">
        <f>Assumptions!D34</f>
        <v>5 trips/day</v>
      </c>
      <c r="E27" s="138">
        <f>Assumptions!B40</f>
        <v>0.25</v>
      </c>
      <c r="F27" s="6" t="s">
        <v>1108</v>
      </c>
    </row>
    <row r="28" spans="1:8" x14ac:dyDescent="0.2">
      <c r="A28" s="6" t="s">
        <v>1109</v>
      </c>
      <c r="B28" s="14" t="s">
        <v>428</v>
      </c>
      <c r="C28" s="139">
        <f>Assumptions!C35</f>
        <v>10</v>
      </c>
      <c r="D28" s="137" t="str">
        <f>Assumptions!D35</f>
        <v>7 trips/day</v>
      </c>
      <c r="E28" s="138">
        <f>Assumptions!B41</f>
        <v>0.12</v>
      </c>
      <c r="F28" s="6" t="s">
        <v>1110</v>
      </c>
    </row>
    <row r="29" spans="1:8" x14ac:dyDescent="0.2">
      <c r="A29" s="6" t="s">
        <v>1111</v>
      </c>
      <c r="B29" s="14" t="s">
        <v>435</v>
      </c>
      <c r="C29" s="14" t="s">
        <v>1112</v>
      </c>
      <c r="D29" s="182" t="s">
        <v>437</v>
      </c>
      <c r="E29" s="156">
        <f>Assumptions!B42</f>
        <v>0.04</v>
      </c>
      <c r="F29" s="6" t="s">
        <v>1113</v>
      </c>
    </row>
    <row r="30" spans="1:8" x14ac:dyDescent="0.2">
      <c r="A30" s="6" t="s">
        <v>1114</v>
      </c>
      <c r="B30" s="14" t="s">
        <v>435</v>
      </c>
      <c r="C30" s="14" t="s">
        <v>1112</v>
      </c>
      <c r="D30" s="182" t="s">
        <v>437</v>
      </c>
      <c r="E30" s="156">
        <f>Assumptions!B43</f>
        <v>0.02</v>
      </c>
      <c r="F30" s="6" t="s">
        <v>1115</v>
      </c>
    </row>
    <row r="32" spans="1:8" ht="18" customHeight="1" x14ac:dyDescent="0.25">
      <c r="A32" s="29" t="s">
        <v>1116</v>
      </c>
      <c r="B32" s="1"/>
      <c r="C32" s="1"/>
      <c r="D32" s="1"/>
      <c r="E32" s="1"/>
      <c r="F32" s="1"/>
      <c r="G32" s="1"/>
      <c r="H32" s="1"/>
    </row>
    <row r="33" spans="1:8" x14ac:dyDescent="0.2">
      <c r="A33" s="8" t="s">
        <v>154</v>
      </c>
      <c r="B33" s="9" t="s">
        <v>868</v>
      </c>
      <c r="C33" s="9" t="s">
        <v>869</v>
      </c>
      <c r="D33" s="9" t="s">
        <v>870</v>
      </c>
      <c r="E33" s="9" t="s">
        <v>871</v>
      </c>
      <c r="F33" s="9" t="s">
        <v>872</v>
      </c>
    </row>
    <row r="34" spans="1:8" x14ac:dyDescent="0.2">
      <c r="A34" s="6" t="s">
        <v>1117</v>
      </c>
      <c r="B34" s="139">
        <f>'Multi-Year Projections'!B14</f>
        <v>1256</v>
      </c>
      <c r="C34" s="139">
        <f>'Multi-Year Projections'!C14</f>
        <v>2763</v>
      </c>
      <c r="D34" s="139">
        <f>'Multi-Year Projections'!D14</f>
        <v>5112</v>
      </c>
      <c r="E34" s="139">
        <f>'Multi-Year Projections'!E14</f>
        <v>8179</v>
      </c>
      <c r="F34" s="139">
        <f>'Multi-Year Projections'!F14</f>
        <v>11860</v>
      </c>
    </row>
    <row r="35" spans="1:8" x14ac:dyDescent="0.2">
      <c r="A35" s="6" t="s">
        <v>1118</v>
      </c>
      <c r="B35" s="139">
        <f>'Multi-Year Projections'!B23</f>
        <v>143881.25</v>
      </c>
      <c r="C35" s="139">
        <f>'Multi-Year Projections'!C23</f>
        <v>840883.50000000023</v>
      </c>
      <c r="D35" s="139">
        <f>'Multi-Year Projections'!D23</f>
        <v>1830360.7410000004</v>
      </c>
      <c r="E35" s="139">
        <f>'Multi-Year Projections'!E23</f>
        <v>3393010.4593500006</v>
      </c>
      <c r="F35" s="139">
        <f>'Multi-Year Projections'!F23</f>
        <v>5553387.1225350015</v>
      </c>
    </row>
    <row r="36" spans="1:8" x14ac:dyDescent="0.2">
      <c r="A36" s="6" t="s">
        <v>1119</v>
      </c>
      <c r="B36" s="162">
        <f>'Multi-Year Projections'!B47</f>
        <v>-709610.15291254874</v>
      </c>
      <c r="C36" s="162">
        <f>'Multi-Year Projections'!C47</f>
        <v>71218.223250000272</v>
      </c>
      <c r="D36" s="162">
        <f>'Multi-Year Projections'!D47</f>
        <v>715202.55321950046</v>
      </c>
      <c r="E36" s="162">
        <f>'Multi-Year Projections'!E47</f>
        <v>1853906.0495268255</v>
      </c>
      <c r="F36" s="162">
        <f>'Multi-Year Projections'!F47</f>
        <v>3536501.5577483838</v>
      </c>
    </row>
    <row r="37" spans="1:8" x14ac:dyDescent="0.2">
      <c r="A37" s="6" t="s">
        <v>1120</v>
      </c>
      <c r="B37" s="162">
        <f>'Multi-Year Projections'!B53</f>
        <v>-721276.81957921537</v>
      </c>
      <c r="C37" s="162">
        <f>'Multi-Year Projections'!C53</f>
        <v>57801.223250000272</v>
      </c>
      <c r="D37" s="162">
        <f>'Multi-Year Projections'!D53</f>
        <v>700443.55321950046</v>
      </c>
      <c r="E37" s="162">
        <f>'Multi-Year Projections'!E53</f>
        <v>1837966.0495268255</v>
      </c>
      <c r="F37" s="162">
        <f>'Multi-Year Projections'!F53</f>
        <v>3519764.5577483838</v>
      </c>
    </row>
    <row r="38" spans="1:8" x14ac:dyDescent="0.2">
      <c r="A38" s="6" t="s">
        <v>753</v>
      </c>
      <c r="B38" s="156">
        <f>'Multi-Year Projections'!B48</f>
        <v>-4.9319154018508229</v>
      </c>
      <c r="C38" s="156">
        <f>'Multi-Year Projections'!C48</f>
        <v>8.469451862237784E-2</v>
      </c>
      <c r="D38" s="156">
        <f>'Multi-Year Projections'!D48</f>
        <v>0.39074404143346969</v>
      </c>
      <c r="E38" s="156">
        <f>'Multi-Year Projections'!E48</f>
        <v>0.54638972432816446</v>
      </c>
      <c r="F38" s="156">
        <f>'Multi-Year Projections'!F48</f>
        <v>0.63681884221571194</v>
      </c>
    </row>
    <row r="39" spans="1:8" x14ac:dyDescent="0.2">
      <c r="A39" s="11" t="s">
        <v>1121</v>
      </c>
      <c r="B39" s="183">
        <f>'Multi-Year Projections'!B55</f>
        <v>-721276.81957921537</v>
      </c>
      <c r="C39" s="183">
        <f>'Multi-Year Projections'!C55</f>
        <v>-663475.5963292151</v>
      </c>
      <c r="D39" s="183">
        <f>'Multi-Year Projections'!D55</f>
        <v>36967.956890285364</v>
      </c>
      <c r="E39" s="183">
        <f>'Multi-Year Projections'!E55</f>
        <v>1874934.006417111</v>
      </c>
      <c r="F39" s="183">
        <f>'Multi-Year Projections'!F55</f>
        <v>5394698.5641654953</v>
      </c>
    </row>
    <row r="41" spans="1:8" ht="18" customHeight="1" x14ac:dyDescent="0.25">
      <c r="A41" s="27" t="s">
        <v>1122</v>
      </c>
      <c r="B41" s="2"/>
      <c r="C41" s="2"/>
      <c r="D41" s="2"/>
      <c r="E41" s="2"/>
      <c r="F41" s="2"/>
      <c r="G41" s="2"/>
      <c r="H41" s="2"/>
    </row>
    <row r="42" spans="1:8" x14ac:dyDescent="0.2">
      <c r="A42" s="8" t="s">
        <v>154</v>
      </c>
      <c r="B42" s="9" t="s">
        <v>367</v>
      </c>
      <c r="C42" s="9" t="s">
        <v>824</v>
      </c>
      <c r="D42" s="9" t="s">
        <v>1123</v>
      </c>
      <c r="F42" s="9" t="s">
        <v>154</v>
      </c>
      <c r="G42" s="9" t="s">
        <v>367</v>
      </c>
    </row>
    <row r="43" spans="1:8" x14ac:dyDescent="0.2">
      <c r="A43" s="6" t="s">
        <v>1124</v>
      </c>
      <c r="B43" s="184">
        <f>'Unit Economics'!B45</f>
        <v>627.58636380000007</v>
      </c>
      <c r="C43" s="14" t="s">
        <v>1125</v>
      </c>
      <c r="D43" s="14" t="s">
        <v>1126</v>
      </c>
      <c r="F43" s="6" t="s">
        <v>1127</v>
      </c>
      <c r="G43" s="31" t="str">
        <f>'Multi-Year Projections'!B62</f>
        <v>Year 2</v>
      </c>
    </row>
    <row r="44" spans="1:8" x14ac:dyDescent="0.2">
      <c r="A44" s="6" t="s">
        <v>1128</v>
      </c>
      <c r="B44" s="139">
        <f>'Unit Economics'!B51</f>
        <v>30</v>
      </c>
      <c r="C44" s="14" t="s">
        <v>1129</v>
      </c>
      <c r="D44" s="14" t="s">
        <v>1130</v>
      </c>
      <c r="F44" s="6" t="s">
        <v>1131</v>
      </c>
      <c r="G44" s="31" t="str">
        <f>'Multi-Year Projections'!B63</f>
        <v>Year 3</v>
      </c>
    </row>
    <row r="45" spans="1:8" x14ac:dyDescent="0.2">
      <c r="A45" s="6" t="s">
        <v>817</v>
      </c>
      <c r="B45" s="185">
        <f>'Unit Economics'!B54</f>
        <v>13.946363640000001</v>
      </c>
      <c r="C45" s="14" t="s">
        <v>1132</v>
      </c>
      <c r="D45" s="14" t="s">
        <v>1126</v>
      </c>
      <c r="F45" s="6" t="s">
        <v>1133</v>
      </c>
      <c r="G45" s="156">
        <f>'Multi-Year Projections'!B68</f>
        <v>1.4925187654401308</v>
      </c>
    </row>
    <row r="46" spans="1:8" x14ac:dyDescent="0.2">
      <c r="A46" s="6" t="s">
        <v>1134</v>
      </c>
      <c r="B46" s="186">
        <f>'Unit Economics'!B55</f>
        <v>2.5479329893623799</v>
      </c>
      <c r="C46" s="14" t="s">
        <v>1135</v>
      </c>
      <c r="D46" s="14" t="s">
        <v>1126</v>
      </c>
      <c r="F46" s="6" t="s">
        <v>1136</v>
      </c>
      <c r="G46" s="139">
        <f>'Multi-Year Projections'!B67</f>
        <v>5394698.5641654953</v>
      </c>
    </row>
    <row r="47" spans="1:8" x14ac:dyDescent="0.2">
      <c r="A47" s="6" t="s">
        <v>1137</v>
      </c>
      <c r="B47" s="184">
        <f>'Unit Economics'!E33</f>
        <v>17.661375</v>
      </c>
      <c r="C47" s="14" t="s">
        <v>1138</v>
      </c>
      <c r="D47" s="14" t="s">
        <v>1130</v>
      </c>
      <c r="F47" s="6" t="s">
        <v>1139</v>
      </c>
      <c r="G47" s="139">
        <f>Assumptions!B109</f>
        <v>190000</v>
      </c>
    </row>
    <row r="49" spans="1:8" ht="18" customHeight="1" x14ac:dyDescent="0.25">
      <c r="A49" s="27" t="s">
        <v>1140</v>
      </c>
      <c r="B49" s="2"/>
      <c r="C49" s="2"/>
      <c r="D49" s="2"/>
      <c r="E49" s="2"/>
      <c r="F49" s="2"/>
      <c r="G49" s="2"/>
      <c r="H49" s="2"/>
    </row>
    <row r="50" spans="1:8" x14ac:dyDescent="0.2">
      <c r="A50" s="8" t="s">
        <v>539</v>
      </c>
      <c r="B50" s="9" t="s">
        <v>560</v>
      </c>
      <c r="C50" s="9" t="s">
        <v>561</v>
      </c>
      <c r="D50" s="9" t="s">
        <v>158</v>
      </c>
    </row>
    <row r="51" spans="1:8" x14ac:dyDescent="0.2">
      <c r="A51" s="6" t="s">
        <v>856</v>
      </c>
      <c r="B51" s="139">
        <f>Assumptions!B109</f>
        <v>190000</v>
      </c>
      <c r="C51" s="187">
        <f>B51*Assumptions!$B$15</f>
        <v>267900</v>
      </c>
      <c r="D51" s="6" t="s">
        <v>1141</v>
      </c>
    </row>
    <row r="52" spans="1:8" x14ac:dyDescent="0.2">
      <c r="A52" s="6" t="s">
        <v>1142</v>
      </c>
      <c r="B52" s="162">
        <f>'Multi-Year Projections'!B53</f>
        <v>-721276.81957921537</v>
      </c>
      <c r="C52" s="188">
        <f>B52*Assumptions!$B$15</f>
        <v>-1017000.3156066936</v>
      </c>
      <c r="D52" s="6" t="s">
        <v>1143</v>
      </c>
    </row>
    <row r="53" spans="1:8" x14ac:dyDescent="0.2">
      <c r="A53" s="11" t="s">
        <v>1144</v>
      </c>
      <c r="B53" s="20">
        <f>ROUND(ABS(B52)*1.3,-3)</f>
        <v>938000</v>
      </c>
      <c r="C53" s="189">
        <f>B53*Assumptions!$B$15</f>
        <v>1322580</v>
      </c>
      <c r="D53" s="11" t="s">
        <v>1145</v>
      </c>
    </row>
    <row r="55" spans="1:8" ht="18" customHeight="1" x14ac:dyDescent="0.25">
      <c r="A55" s="28" t="s">
        <v>1146</v>
      </c>
      <c r="B55" s="3"/>
      <c r="C55" s="3"/>
      <c r="D55" s="3"/>
      <c r="E55" s="3"/>
      <c r="F55" s="3"/>
      <c r="G55" s="3"/>
      <c r="H55" s="3"/>
    </row>
    <row r="56" spans="1:8" x14ac:dyDescent="0.2">
      <c r="A56" s="8" t="s">
        <v>1147</v>
      </c>
      <c r="B56" s="9" t="s">
        <v>1148</v>
      </c>
      <c r="C56" s="8" t="s">
        <v>1149</v>
      </c>
    </row>
    <row r="57" spans="1:8" x14ac:dyDescent="0.2">
      <c r="A57" s="6" t="s">
        <v>1150</v>
      </c>
      <c r="B57" s="33" t="s">
        <v>1059</v>
      </c>
      <c r="C57" s="6" t="s">
        <v>1151</v>
      </c>
    </row>
    <row r="58" spans="1:8" x14ac:dyDescent="0.2">
      <c r="A58" s="6" t="s">
        <v>1152</v>
      </c>
      <c r="B58" s="160" t="s">
        <v>1065</v>
      </c>
      <c r="C58" s="6" t="s">
        <v>1153</v>
      </c>
    </row>
    <row r="59" spans="1:8" x14ac:dyDescent="0.2">
      <c r="A59" s="6" t="s">
        <v>1154</v>
      </c>
      <c r="B59" s="160" t="s">
        <v>1065</v>
      </c>
      <c r="C59" s="6" t="s">
        <v>1155</v>
      </c>
    </row>
    <row r="60" spans="1:8" x14ac:dyDescent="0.2">
      <c r="A60" s="6" t="s">
        <v>1156</v>
      </c>
      <c r="B60" s="31" t="s">
        <v>1157</v>
      </c>
      <c r="C60" s="6" t="s">
        <v>1158</v>
      </c>
    </row>
    <row r="61" spans="1:8" x14ac:dyDescent="0.2">
      <c r="A61" s="6" t="s">
        <v>1159</v>
      </c>
      <c r="B61" s="31" t="s">
        <v>1157</v>
      </c>
      <c r="C61" s="6" t="s">
        <v>1160</v>
      </c>
    </row>
    <row r="63" spans="1:8" ht="18" customHeight="1" x14ac:dyDescent="0.25">
      <c r="A63" s="29" t="s">
        <v>1161</v>
      </c>
      <c r="B63" s="1"/>
      <c r="C63" s="1"/>
      <c r="D63" s="1"/>
      <c r="E63" s="1"/>
      <c r="F63" s="1"/>
      <c r="G63" s="1"/>
      <c r="H63" s="1"/>
    </row>
    <row r="65" spans="1:1" x14ac:dyDescent="0.2">
      <c r="A65" s="6" t="s">
        <v>1162</v>
      </c>
    </row>
    <row r="66" spans="1:1" x14ac:dyDescent="0.2">
      <c r="A66" s="6" t="s">
        <v>1163</v>
      </c>
    </row>
    <row r="67" spans="1:1" x14ac:dyDescent="0.2">
      <c r="A67" s="6" t="s">
        <v>1164</v>
      </c>
    </row>
    <row r="68" spans="1:1" x14ac:dyDescent="0.2">
      <c r="A68" s="6" t="s">
        <v>1165</v>
      </c>
    </row>
    <row r="69" spans="1:1" x14ac:dyDescent="0.2">
      <c r="A69" s="6" t="s">
        <v>1166</v>
      </c>
    </row>
    <row r="70" spans="1:1" x14ac:dyDescent="0.2">
      <c r="A70" s="6" t="s">
        <v>1167</v>
      </c>
    </row>
    <row r="72" spans="1:1" x14ac:dyDescent="0.2">
      <c r="A72" s="173" t="s">
        <v>1168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6600"/>
  </sheetPr>
  <dimension ref="A1:H128"/>
  <sheetViews>
    <sheetView topLeftCell="A112" zoomScale="161" workbookViewId="0">
      <selection activeCell="F14" sqref="F14"/>
    </sheetView>
  </sheetViews>
  <sheetFormatPr baseColWidth="10" defaultRowHeight="16" x14ac:dyDescent="0.2"/>
  <cols>
    <col min="1" max="1" width="40" customWidth="1"/>
    <col min="2" max="3" width="20" customWidth="1"/>
    <col min="4" max="4" width="28.83203125" bestFit="1" customWidth="1"/>
    <col min="5" max="7" width="20" customWidth="1"/>
  </cols>
  <sheetData>
    <row r="1" spans="1:7" ht="40" customHeight="1" x14ac:dyDescent="0.3">
      <c r="A1" s="281" t="s">
        <v>1169</v>
      </c>
      <c r="B1" s="251"/>
      <c r="C1" s="251"/>
      <c r="D1" s="251"/>
      <c r="E1" s="251"/>
      <c r="F1" s="251"/>
      <c r="G1" s="251"/>
    </row>
    <row r="2" spans="1:7" x14ac:dyDescent="0.2">
      <c r="A2" s="279" t="s">
        <v>1170</v>
      </c>
      <c r="B2" s="251"/>
      <c r="C2" s="251"/>
      <c r="D2" s="251"/>
      <c r="E2" s="251"/>
      <c r="F2" s="251"/>
      <c r="G2" s="251"/>
    </row>
    <row r="4" spans="1:7" ht="18" customHeight="1" x14ac:dyDescent="0.25">
      <c r="A4" s="272" t="s">
        <v>1171</v>
      </c>
      <c r="B4" s="251"/>
      <c r="C4" s="251"/>
      <c r="D4" s="251"/>
      <c r="E4" s="251"/>
      <c r="F4" s="251"/>
      <c r="G4" s="251"/>
    </row>
    <row r="5" spans="1:7" x14ac:dyDescent="0.2">
      <c r="A5" s="42" t="s">
        <v>1172</v>
      </c>
      <c r="B5" s="42" t="s">
        <v>1173</v>
      </c>
      <c r="C5" s="42" t="s">
        <v>1174</v>
      </c>
      <c r="D5" s="42" t="s">
        <v>1055</v>
      </c>
      <c r="E5" s="42" t="s">
        <v>1175</v>
      </c>
      <c r="F5" s="42" t="s">
        <v>1176</v>
      </c>
      <c r="G5" s="42" t="s">
        <v>1177</v>
      </c>
    </row>
    <row r="6" spans="1:7" x14ac:dyDescent="0.2">
      <c r="A6" s="43" t="s">
        <v>1178</v>
      </c>
      <c r="B6" s="44" t="s">
        <v>1179</v>
      </c>
      <c r="C6" s="44" t="s">
        <v>1180</v>
      </c>
      <c r="D6" s="44" t="s">
        <v>1181</v>
      </c>
      <c r="E6" s="45">
        <v>500</v>
      </c>
      <c r="F6" s="46" t="s">
        <v>1182</v>
      </c>
      <c r="G6" s="47" t="s">
        <v>1183</v>
      </c>
    </row>
    <row r="7" spans="1:7" x14ac:dyDescent="0.2">
      <c r="A7" s="43" t="s">
        <v>1184</v>
      </c>
      <c r="B7" s="44" t="s">
        <v>1185</v>
      </c>
      <c r="C7" s="44" t="s">
        <v>1186</v>
      </c>
      <c r="D7" s="44" t="s">
        <v>1187</v>
      </c>
      <c r="E7" s="45">
        <v>400</v>
      </c>
      <c r="F7" s="46" t="s">
        <v>1181</v>
      </c>
      <c r="G7" s="47" t="s">
        <v>1183</v>
      </c>
    </row>
    <row r="8" spans="1:7" x14ac:dyDescent="0.2">
      <c r="A8" s="43" t="s">
        <v>1188</v>
      </c>
      <c r="B8" s="44" t="s">
        <v>1189</v>
      </c>
      <c r="C8" s="44" t="s">
        <v>1190</v>
      </c>
      <c r="D8" s="44" t="s">
        <v>1191</v>
      </c>
      <c r="E8" s="45">
        <v>300</v>
      </c>
      <c r="F8" s="46" t="s">
        <v>1192</v>
      </c>
      <c r="G8" s="48" t="s">
        <v>1193</v>
      </c>
    </row>
    <row r="9" spans="1:7" x14ac:dyDescent="0.2">
      <c r="F9" s="46" t="s">
        <v>1191</v>
      </c>
    </row>
    <row r="10" spans="1:7" x14ac:dyDescent="0.2">
      <c r="A10" s="34" t="s">
        <v>1194</v>
      </c>
      <c r="B10" s="36" t="s">
        <v>1195</v>
      </c>
      <c r="C10" s="36" t="s">
        <v>1196</v>
      </c>
      <c r="D10" s="36" t="s">
        <v>1197</v>
      </c>
      <c r="E10" s="50">
        <v>2000</v>
      </c>
      <c r="F10" s="51" t="s">
        <v>1197</v>
      </c>
      <c r="G10" s="53" t="s">
        <v>1183</v>
      </c>
    </row>
    <row r="11" spans="1:7" x14ac:dyDescent="0.2">
      <c r="A11" s="34" t="s">
        <v>1198</v>
      </c>
      <c r="B11" s="36" t="s">
        <v>1199</v>
      </c>
      <c r="C11" s="36" t="s">
        <v>1200</v>
      </c>
      <c r="D11" s="36" t="s">
        <v>1201</v>
      </c>
      <c r="E11" s="50">
        <v>3000</v>
      </c>
      <c r="F11" s="51" t="s">
        <v>1201</v>
      </c>
      <c r="G11" s="53" t="s">
        <v>1183</v>
      </c>
    </row>
    <row r="12" spans="1:7" x14ac:dyDescent="0.2">
      <c r="A12" s="35" t="s">
        <v>1202</v>
      </c>
      <c r="B12" s="36" t="s">
        <v>1203</v>
      </c>
      <c r="C12" s="36" t="s">
        <v>1204</v>
      </c>
      <c r="D12" s="36" t="s">
        <v>1205</v>
      </c>
      <c r="E12" s="50">
        <v>300</v>
      </c>
      <c r="F12" s="52" t="s">
        <v>1206</v>
      </c>
      <c r="G12" s="54" t="s">
        <v>1193</v>
      </c>
    </row>
    <row r="13" spans="1:7" x14ac:dyDescent="0.2">
      <c r="F13" t="s">
        <v>1207</v>
      </c>
    </row>
    <row r="14" spans="1:7" x14ac:dyDescent="0.2">
      <c r="A14" s="55" t="s">
        <v>1208</v>
      </c>
      <c r="B14" s="56" t="s">
        <v>1209</v>
      </c>
      <c r="C14" s="56" t="s">
        <v>1210</v>
      </c>
      <c r="D14" s="56" t="s">
        <v>1211</v>
      </c>
      <c r="E14" s="57">
        <v>500</v>
      </c>
      <c r="F14" s="58" t="s">
        <v>1212</v>
      </c>
      <c r="G14" s="59" t="s">
        <v>1213</v>
      </c>
    </row>
    <row r="15" spans="1:7" x14ac:dyDescent="0.2">
      <c r="A15" s="55" t="s">
        <v>1208</v>
      </c>
      <c r="B15" s="56" t="s">
        <v>1209</v>
      </c>
      <c r="C15" s="56" t="s">
        <v>1214</v>
      </c>
      <c r="D15" s="56" t="s">
        <v>1211</v>
      </c>
      <c r="E15" s="57">
        <v>500</v>
      </c>
      <c r="F15" s="58" t="s">
        <v>1215</v>
      </c>
      <c r="G15" s="60" t="s">
        <v>1216</v>
      </c>
    </row>
    <row r="16" spans="1:7" x14ac:dyDescent="0.2">
      <c r="A16" s="55" t="s">
        <v>1217</v>
      </c>
      <c r="B16" s="56" t="s">
        <v>1218</v>
      </c>
      <c r="C16" s="56" t="s">
        <v>1219</v>
      </c>
      <c r="D16" s="56" t="s">
        <v>1211</v>
      </c>
      <c r="E16" s="57">
        <v>400</v>
      </c>
      <c r="F16" s="58" t="s">
        <v>1215</v>
      </c>
      <c r="G16" s="60" t="s">
        <v>1216</v>
      </c>
    </row>
    <row r="18" spans="1:7" x14ac:dyDescent="0.2">
      <c r="A18" s="283" t="s">
        <v>1220</v>
      </c>
      <c r="B18" s="251"/>
      <c r="C18" s="251"/>
      <c r="D18" s="251"/>
      <c r="E18" s="251"/>
      <c r="F18" s="251"/>
      <c r="G18" s="251"/>
    </row>
    <row r="20" spans="1:7" x14ac:dyDescent="0.2">
      <c r="A20" s="273" t="s">
        <v>1221</v>
      </c>
      <c r="B20" s="251"/>
      <c r="C20" s="251"/>
      <c r="D20" s="251"/>
      <c r="E20" s="251"/>
      <c r="F20" s="251"/>
      <c r="G20" s="251"/>
    </row>
    <row r="21" spans="1:7" x14ac:dyDescent="0.2">
      <c r="A21" s="273" t="s">
        <v>1222</v>
      </c>
      <c r="B21" s="251"/>
      <c r="C21" s="251"/>
      <c r="D21" s="251"/>
      <c r="E21" s="251"/>
      <c r="F21" s="251"/>
      <c r="G21" s="251"/>
    </row>
    <row r="22" spans="1:7" x14ac:dyDescent="0.2">
      <c r="A22" s="49"/>
    </row>
    <row r="23" spans="1:7" ht="28" customHeight="1" x14ac:dyDescent="0.25">
      <c r="A23" s="276" t="s">
        <v>1223</v>
      </c>
      <c r="B23" s="251"/>
      <c r="C23" s="251"/>
      <c r="D23" s="251"/>
      <c r="E23" s="251"/>
      <c r="F23" s="251"/>
      <c r="G23" s="251"/>
    </row>
    <row r="24" spans="1:7" ht="28" customHeight="1" x14ac:dyDescent="0.2">
      <c r="A24" s="279" t="s">
        <v>1224</v>
      </c>
      <c r="B24" s="251"/>
      <c r="C24" s="251"/>
      <c r="D24" s="251"/>
      <c r="E24" s="251"/>
      <c r="F24" s="251"/>
      <c r="G24" s="251"/>
    </row>
    <row r="25" spans="1:7" ht="28" customHeight="1" x14ac:dyDescent="0.2"/>
    <row r="26" spans="1:7" x14ac:dyDescent="0.2">
      <c r="A26" s="275" t="s">
        <v>1225</v>
      </c>
      <c r="B26" s="251"/>
      <c r="C26" s="275" t="s">
        <v>1226</v>
      </c>
      <c r="D26" s="251"/>
    </row>
    <row r="27" spans="1:7" x14ac:dyDescent="0.2">
      <c r="A27" s="61" t="s">
        <v>1173</v>
      </c>
      <c r="B27" s="62" t="s">
        <v>1227</v>
      </c>
      <c r="C27" s="61" t="s">
        <v>1228</v>
      </c>
      <c r="D27" s="63" t="s">
        <v>1229</v>
      </c>
    </row>
    <row r="28" spans="1:7" x14ac:dyDescent="0.2">
      <c r="A28" s="40" t="s">
        <v>1230</v>
      </c>
      <c r="B28" s="64" t="s">
        <v>1231</v>
      </c>
      <c r="C28" s="40" t="s">
        <v>1232</v>
      </c>
      <c r="D28" s="65" t="s">
        <v>1233</v>
      </c>
    </row>
    <row r="29" spans="1:7" x14ac:dyDescent="0.2">
      <c r="A29" s="61" t="s">
        <v>1234</v>
      </c>
      <c r="B29" s="62" t="s">
        <v>1235</v>
      </c>
      <c r="C29" s="61" t="s">
        <v>1236</v>
      </c>
      <c r="D29" s="66" t="s">
        <v>1237</v>
      </c>
    </row>
    <row r="30" spans="1:7" x14ac:dyDescent="0.2">
      <c r="A30" s="40" t="s">
        <v>1238</v>
      </c>
      <c r="B30" s="64" t="s">
        <v>1239</v>
      </c>
      <c r="C30" s="40" t="s">
        <v>1240</v>
      </c>
      <c r="D30" s="67" t="s">
        <v>1241</v>
      </c>
    </row>
    <row r="31" spans="1:7" x14ac:dyDescent="0.2">
      <c r="A31" s="61" t="s">
        <v>1242</v>
      </c>
      <c r="B31" s="62" t="s">
        <v>1243</v>
      </c>
      <c r="C31" s="61" t="s">
        <v>1244</v>
      </c>
      <c r="D31" s="63" t="s">
        <v>1245</v>
      </c>
    </row>
    <row r="32" spans="1:7" x14ac:dyDescent="0.2">
      <c r="A32" s="40" t="s">
        <v>1246</v>
      </c>
      <c r="B32" s="64" t="s">
        <v>1247</v>
      </c>
      <c r="C32" s="40" t="s">
        <v>1248</v>
      </c>
      <c r="D32" s="68" t="s">
        <v>1249</v>
      </c>
    </row>
    <row r="33" spans="1:7" x14ac:dyDescent="0.2">
      <c r="A33" s="61" t="s">
        <v>1250</v>
      </c>
      <c r="B33" s="62" t="s">
        <v>1251</v>
      </c>
      <c r="C33" s="61" t="s">
        <v>1252</v>
      </c>
      <c r="D33" s="69" t="s">
        <v>1253</v>
      </c>
    </row>
    <row r="36" spans="1:7" x14ac:dyDescent="0.2">
      <c r="A36" s="280" t="s">
        <v>1254</v>
      </c>
      <c r="B36" s="251"/>
      <c r="C36" s="251"/>
      <c r="D36" s="251"/>
      <c r="E36" s="251"/>
      <c r="F36" s="251"/>
      <c r="G36" s="251"/>
    </row>
    <row r="37" spans="1:7" x14ac:dyDescent="0.2">
      <c r="A37" s="70"/>
      <c r="B37" s="71" t="s">
        <v>1255</v>
      </c>
      <c r="C37" s="71" t="s">
        <v>1256</v>
      </c>
      <c r="D37" s="71" t="s">
        <v>1257</v>
      </c>
      <c r="E37" s="71" t="s">
        <v>1258</v>
      </c>
      <c r="F37" s="72" t="s">
        <v>135</v>
      </c>
      <c r="G37" s="72" t="s">
        <v>1259</v>
      </c>
    </row>
    <row r="38" spans="1:7" x14ac:dyDescent="0.2">
      <c r="A38" s="271" t="s">
        <v>1260</v>
      </c>
      <c r="B38" s="251"/>
      <c r="C38" s="251"/>
      <c r="D38" s="251"/>
      <c r="E38" s="251"/>
      <c r="F38" s="251"/>
      <c r="G38" s="251"/>
    </row>
    <row r="39" spans="1:7" x14ac:dyDescent="0.2">
      <c r="A39" s="73" t="s">
        <v>1261</v>
      </c>
      <c r="B39" s="75">
        <v>600</v>
      </c>
      <c r="C39" s="75">
        <v>900</v>
      </c>
      <c r="D39" s="75">
        <v>1200</v>
      </c>
      <c r="E39" s="75">
        <v>1400</v>
      </c>
      <c r="F39" s="77">
        <v>4100</v>
      </c>
      <c r="G39" s="77">
        <v>6000</v>
      </c>
    </row>
    <row r="40" spans="1:7" x14ac:dyDescent="0.2">
      <c r="A40" s="79" t="s">
        <v>1262</v>
      </c>
      <c r="B40" s="80">
        <v>-60</v>
      </c>
      <c r="C40" s="80">
        <v>-120</v>
      </c>
      <c r="D40" s="80">
        <v>-190</v>
      </c>
      <c r="E40" s="80">
        <v>-280</v>
      </c>
      <c r="F40" s="81">
        <v>-650</v>
      </c>
      <c r="G40" s="81">
        <v>-1100</v>
      </c>
    </row>
    <row r="41" spans="1:7" x14ac:dyDescent="0.2">
      <c r="A41" s="82" t="s">
        <v>1263</v>
      </c>
      <c r="B41" s="83">
        <v>540</v>
      </c>
      <c r="C41" s="83">
        <v>1320</v>
      </c>
      <c r="D41" s="83">
        <v>2330</v>
      </c>
      <c r="E41" s="83">
        <v>3450</v>
      </c>
      <c r="F41" s="77">
        <v>3450</v>
      </c>
      <c r="G41" s="77">
        <v>8350</v>
      </c>
    </row>
    <row r="42" spans="1:7" x14ac:dyDescent="0.2">
      <c r="A42" s="49"/>
    </row>
    <row r="43" spans="1:7" x14ac:dyDescent="0.2">
      <c r="A43" s="274" t="s">
        <v>1264</v>
      </c>
      <c r="B43" s="251"/>
      <c r="C43" s="251"/>
      <c r="D43" s="251"/>
      <c r="E43" s="251"/>
      <c r="F43" s="251"/>
      <c r="G43" s="251"/>
    </row>
    <row r="44" spans="1:7" x14ac:dyDescent="0.2">
      <c r="A44" s="73" t="s">
        <v>787</v>
      </c>
      <c r="B44" s="84">
        <v>32400</v>
      </c>
      <c r="C44" s="84">
        <v>95040</v>
      </c>
      <c r="D44" s="84">
        <v>181650</v>
      </c>
      <c r="E44" s="84">
        <v>276000</v>
      </c>
      <c r="F44" s="85">
        <v>585090</v>
      </c>
      <c r="G44" s="85">
        <v>1002000</v>
      </c>
    </row>
    <row r="45" spans="1:7" x14ac:dyDescent="0.2">
      <c r="A45" s="73" t="s">
        <v>1265</v>
      </c>
      <c r="B45" s="86">
        <v>0</v>
      </c>
      <c r="C45" s="84">
        <v>3000</v>
      </c>
      <c r="D45" s="84">
        <v>8000</v>
      </c>
      <c r="E45" s="84">
        <v>15000</v>
      </c>
      <c r="F45" s="85">
        <v>26000</v>
      </c>
      <c r="G45" s="85">
        <v>65000</v>
      </c>
    </row>
    <row r="46" spans="1:7" x14ac:dyDescent="0.2">
      <c r="A46" s="87" t="s">
        <v>50</v>
      </c>
      <c r="B46" s="88">
        <v>32400</v>
      </c>
      <c r="C46" s="88">
        <v>98040</v>
      </c>
      <c r="D46" s="88">
        <v>189650</v>
      </c>
      <c r="E46" s="88">
        <v>291000</v>
      </c>
      <c r="F46" s="85">
        <v>611090</v>
      </c>
      <c r="G46" s="85">
        <v>1067000</v>
      </c>
    </row>
    <row r="47" spans="1:7" x14ac:dyDescent="0.2">
      <c r="A47" s="49"/>
    </row>
    <row r="48" spans="1:7" x14ac:dyDescent="0.2">
      <c r="A48" s="278" t="s">
        <v>1266</v>
      </c>
      <c r="B48" s="251"/>
      <c r="C48" s="251"/>
      <c r="D48" s="251"/>
      <c r="E48" s="251"/>
      <c r="F48" s="251"/>
      <c r="G48" s="251"/>
    </row>
    <row r="49" spans="1:8" x14ac:dyDescent="0.2">
      <c r="A49" s="79" t="s">
        <v>1267</v>
      </c>
      <c r="B49" s="90">
        <v>-60000</v>
      </c>
      <c r="C49" s="86">
        <v>0</v>
      </c>
      <c r="D49" s="86">
        <v>0</v>
      </c>
      <c r="E49" s="86">
        <v>0</v>
      </c>
      <c r="F49" s="91">
        <v>-60000</v>
      </c>
      <c r="G49" s="92">
        <v>0</v>
      </c>
    </row>
    <row r="50" spans="1:8" x14ac:dyDescent="0.2">
      <c r="A50" s="79" t="s">
        <v>1268</v>
      </c>
      <c r="B50" s="90">
        <v>-18000</v>
      </c>
      <c r="C50" s="90">
        <v>-22000</v>
      </c>
      <c r="D50" s="90">
        <v>-28000</v>
      </c>
      <c r="E50" s="90">
        <v>-35000</v>
      </c>
      <c r="F50" s="91">
        <v>-103000</v>
      </c>
      <c r="G50" s="91">
        <v>-170000</v>
      </c>
    </row>
    <row r="51" spans="1:8" x14ac:dyDescent="0.2">
      <c r="A51" s="79" t="s">
        <v>1269</v>
      </c>
      <c r="B51" s="90">
        <v>-35000</v>
      </c>
      <c r="C51" s="90">
        <v>-30000</v>
      </c>
      <c r="D51" s="90">
        <v>-28000</v>
      </c>
      <c r="E51" s="90">
        <v>-25000</v>
      </c>
      <c r="F51" s="91">
        <v>-118000</v>
      </c>
      <c r="G51" s="91">
        <v>-85000</v>
      </c>
    </row>
    <row r="52" spans="1:8" x14ac:dyDescent="0.2">
      <c r="A52" s="79" t="s">
        <v>1270</v>
      </c>
      <c r="B52" s="90">
        <v>-10000</v>
      </c>
      <c r="C52" s="90">
        <v>-8000</v>
      </c>
      <c r="D52" s="90">
        <v>-7000</v>
      </c>
      <c r="E52" s="90">
        <v>-7000</v>
      </c>
      <c r="F52" s="91">
        <v>-32000</v>
      </c>
      <c r="G52" s="91">
        <v>-25000</v>
      </c>
    </row>
    <row r="53" spans="1:8" x14ac:dyDescent="0.2">
      <c r="A53" s="89" t="s">
        <v>1271</v>
      </c>
      <c r="B53" s="93">
        <f>SUM(B49:B52)</f>
        <v>-123000</v>
      </c>
      <c r="C53" s="93">
        <f>SUM(C49:C52)</f>
        <v>-60000</v>
      </c>
      <c r="D53" s="93">
        <f>SUM(D49:D52)</f>
        <v>-63000</v>
      </c>
      <c r="E53" s="93">
        <f>SUM(E49:E52)</f>
        <v>-67000</v>
      </c>
      <c r="F53" s="91">
        <f>SUM(B53:E53)</f>
        <v>-313000</v>
      </c>
      <c r="G53" s="91">
        <f>SUM(G49:G52)</f>
        <v>-280000</v>
      </c>
    </row>
    <row r="54" spans="1:8" x14ac:dyDescent="0.2">
      <c r="A54" s="49"/>
      <c r="B54" s="90">
        <f t="shared" ref="B54:G54" si="0">B46+B53</f>
        <v>-90600</v>
      </c>
      <c r="C54" s="90">
        <f t="shared" si="0"/>
        <v>38040</v>
      </c>
      <c r="D54" s="90">
        <f t="shared" si="0"/>
        <v>126650</v>
      </c>
      <c r="E54" s="90">
        <f t="shared" si="0"/>
        <v>224000</v>
      </c>
      <c r="F54" s="91">
        <f t="shared" si="0"/>
        <v>298090</v>
      </c>
      <c r="G54" s="91">
        <f t="shared" si="0"/>
        <v>787000</v>
      </c>
    </row>
    <row r="55" spans="1:8" x14ac:dyDescent="0.2">
      <c r="A55" s="94" t="s">
        <v>1028</v>
      </c>
      <c r="B55" s="95">
        <f>B54</f>
        <v>-90600</v>
      </c>
      <c r="C55" s="95">
        <f t="shared" ref="C55:E56" si="1">B55+C54</f>
        <v>-52560</v>
      </c>
      <c r="D55" s="95">
        <f t="shared" si="1"/>
        <v>74090</v>
      </c>
      <c r="E55" s="95">
        <f t="shared" si="1"/>
        <v>298090</v>
      </c>
      <c r="F55" s="95">
        <f>D55+E54</f>
        <v>298090</v>
      </c>
      <c r="G55" s="95">
        <f>E55+G54</f>
        <v>1085090</v>
      </c>
    </row>
    <row r="56" spans="1:8" x14ac:dyDescent="0.2">
      <c r="A56" s="96" t="s">
        <v>1272</v>
      </c>
      <c r="B56" s="97">
        <f>B55</f>
        <v>-90600</v>
      </c>
      <c r="C56" s="97">
        <f t="shared" si="1"/>
        <v>-143160</v>
      </c>
      <c r="D56" s="97">
        <f t="shared" si="1"/>
        <v>-69070</v>
      </c>
      <c r="E56" s="97">
        <f t="shared" si="1"/>
        <v>229020</v>
      </c>
      <c r="F56" s="97">
        <f>E56</f>
        <v>229020</v>
      </c>
      <c r="G56" s="97">
        <f>E56+G55</f>
        <v>1314110</v>
      </c>
      <c r="H56" t="s">
        <v>1273</v>
      </c>
    </row>
    <row r="57" spans="1:8" x14ac:dyDescent="0.2">
      <c r="A57" s="49"/>
    </row>
    <row r="58" spans="1:8" x14ac:dyDescent="0.2">
      <c r="A58" s="271" t="s">
        <v>1274</v>
      </c>
      <c r="B58" s="251"/>
      <c r="C58" s="251"/>
      <c r="D58" s="251"/>
      <c r="E58" s="251"/>
      <c r="F58" s="251"/>
      <c r="G58" s="251"/>
    </row>
    <row r="59" spans="1:8" x14ac:dyDescent="0.2">
      <c r="A59" s="73" t="s">
        <v>1275</v>
      </c>
      <c r="B59" s="84">
        <f>IF(B41&gt;0,B46/B41,0)</f>
        <v>60</v>
      </c>
      <c r="C59" s="84">
        <f>IF(C41&gt;0,C46/C41,0)</f>
        <v>74.272727272727266</v>
      </c>
      <c r="D59" s="84">
        <f>IF(D41&gt;0,D46/D41,0)</f>
        <v>81.394849785407729</v>
      </c>
      <c r="E59" s="84">
        <f>IF(E41&gt;0,E46/E41,0)</f>
        <v>84.347826086956516</v>
      </c>
      <c r="F59" s="10"/>
      <c r="G59" s="10"/>
    </row>
    <row r="60" spans="1:8" x14ac:dyDescent="0.2">
      <c r="A60" s="73" t="s">
        <v>1276</v>
      </c>
      <c r="B60" s="98">
        <f t="shared" ref="B60:G60" si="2">IF(B46&gt;0,B55/B46,0)</f>
        <v>-2.7962962962962963</v>
      </c>
      <c r="C60" s="98">
        <f t="shared" si="2"/>
        <v>-0.53610771113831091</v>
      </c>
      <c r="D60" s="98">
        <f t="shared" si="2"/>
        <v>0.3906670181914052</v>
      </c>
      <c r="E60" s="98">
        <f t="shared" si="2"/>
        <v>1.024364261168385</v>
      </c>
      <c r="F60" s="99">
        <f t="shared" si="2"/>
        <v>0.48780048765320982</v>
      </c>
      <c r="G60" s="99">
        <f t="shared" si="2"/>
        <v>1.0169540768509842</v>
      </c>
    </row>
    <row r="62" spans="1:8" ht="28" customHeight="1" x14ac:dyDescent="0.2">
      <c r="A62" s="49"/>
    </row>
    <row r="63" spans="1:8" ht="28" customHeight="1" x14ac:dyDescent="0.25">
      <c r="A63" s="276" t="s">
        <v>1277</v>
      </c>
      <c r="B63" s="251"/>
      <c r="C63" s="251"/>
      <c r="D63" s="251"/>
      <c r="E63" s="251"/>
      <c r="F63" s="251"/>
      <c r="G63" s="251"/>
    </row>
    <row r="64" spans="1:8" ht="28" customHeight="1" x14ac:dyDescent="0.2">
      <c r="A64" s="279" t="s">
        <v>1278</v>
      </c>
      <c r="B64" s="251"/>
      <c r="C64" s="251"/>
      <c r="D64" s="251"/>
      <c r="E64" s="251"/>
      <c r="F64" s="251"/>
      <c r="G64" s="251"/>
    </row>
    <row r="65" spans="1:7" x14ac:dyDescent="0.2">
      <c r="A65" s="275" t="s">
        <v>1225</v>
      </c>
      <c r="B65" s="251"/>
      <c r="C65" s="275" t="s">
        <v>1226</v>
      </c>
      <c r="D65" s="251"/>
    </row>
    <row r="66" spans="1:7" x14ac:dyDescent="0.2">
      <c r="A66" s="100" t="s">
        <v>1173</v>
      </c>
      <c r="B66" s="101" t="s">
        <v>1279</v>
      </c>
      <c r="C66" s="100" t="s">
        <v>1228</v>
      </c>
      <c r="D66" s="102" t="s">
        <v>1280</v>
      </c>
    </row>
    <row r="67" spans="1:7" x14ac:dyDescent="0.2">
      <c r="A67" s="103" t="s">
        <v>1230</v>
      </c>
      <c r="B67" s="104" t="s">
        <v>1281</v>
      </c>
      <c r="C67" s="103" t="s">
        <v>1232</v>
      </c>
      <c r="D67" s="65" t="s">
        <v>1233</v>
      </c>
    </row>
    <row r="68" spans="1:7" x14ac:dyDescent="0.2">
      <c r="A68" s="100" t="s">
        <v>1234</v>
      </c>
      <c r="B68" s="101" t="s">
        <v>1200</v>
      </c>
      <c r="C68" s="100" t="s">
        <v>1236</v>
      </c>
      <c r="D68" s="66" t="s">
        <v>1282</v>
      </c>
    </row>
    <row r="69" spans="1:7" x14ac:dyDescent="0.2">
      <c r="A69" s="103" t="s">
        <v>1238</v>
      </c>
      <c r="B69" s="104" t="s">
        <v>1283</v>
      </c>
      <c r="C69" s="103" t="s">
        <v>1240</v>
      </c>
      <c r="D69" s="67" t="s">
        <v>1284</v>
      </c>
    </row>
    <row r="70" spans="1:7" x14ac:dyDescent="0.2">
      <c r="A70" s="100" t="s">
        <v>1242</v>
      </c>
      <c r="B70" s="101" t="s">
        <v>1285</v>
      </c>
      <c r="C70" s="100" t="s">
        <v>1244</v>
      </c>
      <c r="D70" s="102" t="s">
        <v>1286</v>
      </c>
    </row>
    <row r="71" spans="1:7" x14ac:dyDescent="0.2">
      <c r="A71" s="103" t="s">
        <v>1246</v>
      </c>
      <c r="B71" s="104" t="s">
        <v>1287</v>
      </c>
      <c r="C71" s="103" t="s">
        <v>1248</v>
      </c>
      <c r="D71" s="68" t="s">
        <v>1288</v>
      </c>
    </row>
    <row r="72" spans="1:7" x14ac:dyDescent="0.2">
      <c r="A72" s="100" t="s">
        <v>1250</v>
      </c>
      <c r="B72" s="101">
        <v>600</v>
      </c>
      <c r="C72" s="100">
        <v>900</v>
      </c>
      <c r="D72" s="69">
        <v>1200</v>
      </c>
      <c r="E72">
        <v>1500</v>
      </c>
      <c r="F72">
        <v>4200</v>
      </c>
      <c r="G72">
        <v>6000</v>
      </c>
    </row>
    <row r="73" spans="1:7" x14ac:dyDescent="0.2">
      <c r="A73" s="103" t="s">
        <v>1289</v>
      </c>
      <c r="B73" s="105">
        <v>-60</v>
      </c>
      <c r="C73" s="103">
        <v>-130</v>
      </c>
      <c r="D73" s="105">
        <v>-210</v>
      </c>
      <c r="E73">
        <v>-300</v>
      </c>
      <c r="F73">
        <v>-700</v>
      </c>
      <c r="G73">
        <v>-1200</v>
      </c>
    </row>
    <row r="74" spans="1:7" x14ac:dyDescent="0.2">
      <c r="B74">
        <v>540</v>
      </c>
      <c r="C74">
        <v>1310</v>
      </c>
      <c r="D74">
        <v>2300</v>
      </c>
      <c r="E74">
        <v>3500</v>
      </c>
      <c r="F74">
        <v>3500</v>
      </c>
      <c r="G74">
        <v>8300</v>
      </c>
    </row>
    <row r="75" spans="1:7" x14ac:dyDescent="0.2">
      <c r="A75" s="280" t="s">
        <v>1290</v>
      </c>
      <c r="B75" s="251"/>
      <c r="C75" s="251"/>
      <c r="D75" s="251"/>
      <c r="E75" s="251"/>
      <c r="F75" s="251"/>
      <c r="G75" s="251"/>
    </row>
    <row r="76" spans="1:7" x14ac:dyDescent="0.2">
      <c r="A76" s="70"/>
      <c r="B76" s="71" t="s">
        <v>1255</v>
      </c>
      <c r="C76" s="71" t="s">
        <v>1256</v>
      </c>
      <c r="D76" s="71" t="s">
        <v>1257</v>
      </c>
      <c r="E76" s="71" t="s">
        <v>1258</v>
      </c>
      <c r="F76" s="72" t="s">
        <v>135</v>
      </c>
      <c r="G76" s="72" t="s">
        <v>1259</v>
      </c>
    </row>
    <row r="77" spans="1:7" x14ac:dyDescent="0.2">
      <c r="A77" s="271" t="s">
        <v>1260</v>
      </c>
      <c r="B77" s="251"/>
      <c r="C77" s="251"/>
      <c r="D77" s="251"/>
      <c r="E77" s="251"/>
      <c r="F77" s="251"/>
      <c r="G77" s="251"/>
    </row>
    <row r="78" spans="1:7" x14ac:dyDescent="0.2">
      <c r="A78" s="73" t="s">
        <v>1261</v>
      </c>
      <c r="B78" s="75">
        <v>24300</v>
      </c>
      <c r="C78" s="75">
        <v>70650</v>
      </c>
      <c r="D78" s="75">
        <v>145200</v>
      </c>
      <c r="E78" s="75">
        <v>252000</v>
      </c>
      <c r="F78" s="77">
        <v>492150</v>
      </c>
      <c r="G78" s="77">
        <v>896400</v>
      </c>
    </row>
    <row r="79" spans="1:7" x14ac:dyDescent="0.2">
      <c r="A79" s="79" t="s">
        <v>1262</v>
      </c>
      <c r="B79" s="80">
        <v>0</v>
      </c>
      <c r="C79" s="80">
        <v>2000</v>
      </c>
      <c r="D79" s="80">
        <v>6000</v>
      </c>
      <c r="E79" s="80">
        <v>12000</v>
      </c>
      <c r="F79" s="81">
        <v>20000</v>
      </c>
      <c r="G79" s="81">
        <v>60000</v>
      </c>
    </row>
    <row r="80" spans="1:7" x14ac:dyDescent="0.2">
      <c r="A80" s="82" t="s">
        <v>1263</v>
      </c>
      <c r="B80" s="83">
        <v>24300</v>
      </c>
      <c r="C80" s="83">
        <v>72650</v>
      </c>
      <c r="D80" s="83">
        <v>151200</v>
      </c>
      <c r="E80" s="83">
        <v>264000</v>
      </c>
      <c r="F80" s="77">
        <v>512150</v>
      </c>
      <c r="G80" s="77">
        <v>956400</v>
      </c>
    </row>
    <row r="81" spans="1:7" x14ac:dyDescent="0.2">
      <c r="A81" s="49"/>
    </row>
    <row r="82" spans="1:7" x14ac:dyDescent="0.2">
      <c r="A82" s="274" t="s">
        <v>1264</v>
      </c>
      <c r="B82" s="251"/>
      <c r="C82" s="251"/>
      <c r="D82" s="251"/>
      <c r="E82" s="251"/>
      <c r="F82" s="251"/>
      <c r="G82" s="251"/>
    </row>
    <row r="83" spans="1:7" x14ac:dyDescent="0.2">
      <c r="A83" s="73" t="s">
        <v>787</v>
      </c>
      <c r="B83" s="84">
        <v>-120000</v>
      </c>
      <c r="C83" s="84">
        <v>0</v>
      </c>
      <c r="D83" s="84">
        <v>0</v>
      </c>
      <c r="E83" s="84">
        <v>0</v>
      </c>
      <c r="F83" s="85">
        <v>-120000</v>
      </c>
      <c r="G83" s="85">
        <v>0</v>
      </c>
    </row>
    <row r="84" spans="1:7" x14ac:dyDescent="0.2">
      <c r="A84" s="73" t="s">
        <v>1291</v>
      </c>
      <c r="B84" s="86">
        <v>-30000</v>
      </c>
      <c r="C84" s="84">
        <v>-36000</v>
      </c>
      <c r="D84" s="84">
        <v>-42000</v>
      </c>
      <c r="E84" s="84">
        <v>-50000</v>
      </c>
      <c r="F84" s="85">
        <v>-158000</v>
      </c>
      <c r="G84" s="85">
        <v>-240000</v>
      </c>
    </row>
    <row r="85" spans="1:7" x14ac:dyDescent="0.2">
      <c r="A85" s="87" t="s">
        <v>50</v>
      </c>
      <c r="B85" s="88">
        <v>-45000</v>
      </c>
      <c r="C85" s="88">
        <v>-40000</v>
      </c>
      <c r="D85" s="88">
        <v>-35000</v>
      </c>
      <c r="E85" s="88">
        <v>-32000</v>
      </c>
      <c r="F85" s="85">
        <v>-152000</v>
      </c>
      <c r="G85" s="85">
        <v>-120000</v>
      </c>
    </row>
    <row r="86" spans="1:7" x14ac:dyDescent="0.2">
      <c r="A86" s="49"/>
      <c r="B86">
        <v>-18000</v>
      </c>
      <c r="C86">
        <v>-14000</v>
      </c>
      <c r="D86">
        <v>-11000</v>
      </c>
      <c r="E86">
        <v>-10000</v>
      </c>
      <c r="F86" s="85">
        <v>-53000</v>
      </c>
      <c r="G86" s="85">
        <v>-40000</v>
      </c>
    </row>
    <row r="87" spans="1:7" x14ac:dyDescent="0.2">
      <c r="A87" s="278" t="s">
        <v>1266</v>
      </c>
      <c r="B87" s="251"/>
      <c r="C87" s="251"/>
      <c r="D87" s="251"/>
      <c r="E87" s="251"/>
      <c r="F87" s="251"/>
      <c r="G87" s="251"/>
    </row>
    <row r="88" spans="1:7" x14ac:dyDescent="0.2">
      <c r="A88" s="79" t="s">
        <v>1292</v>
      </c>
      <c r="B88" s="90">
        <v>-120000</v>
      </c>
      <c r="C88" s="90">
        <v>0</v>
      </c>
      <c r="D88" s="90">
        <v>0</v>
      </c>
      <c r="E88" s="90">
        <v>0</v>
      </c>
      <c r="F88" s="91">
        <v>-120000</v>
      </c>
      <c r="G88" s="127">
        <v>0</v>
      </c>
    </row>
    <row r="89" spans="1:7" x14ac:dyDescent="0.2">
      <c r="A89" s="79" t="s">
        <v>1293</v>
      </c>
      <c r="B89" s="90">
        <v>-188700</v>
      </c>
      <c r="C89" s="90">
        <v>-17350</v>
      </c>
      <c r="D89" s="90">
        <v>63200</v>
      </c>
      <c r="E89" s="90">
        <v>172000</v>
      </c>
      <c r="F89" s="91">
        <v>29150</v>
      </c>
      <c r="G89" s="91">
        <v>556400</v>
      </c>
    </row>
    <row r="90" spans="1:7" x14ac:dyDescent="0.2">
      <c r="A90" s="79" t="s">
        <v>1294</v>
      </c>
      <c r="B90" s="90">
        <v>-188700</v>
      </c>
      <c r="C90" s="90">
        <v>-206050</v>
      </c>
      <c r="D90" s="90">
        <v>-142850</v>
      </c>
      <c r="E90" s="90">
        <v>29150</v>
      </c>
      <c r="F90" s="91">
        <v>29150</v>
      </c>
      <c r="G90" s="91">
        <v>585550</v>
      </c>
    </row>
    <row r="91" spans="1:7" x14ac:dyDescent="0.2">
      <c r="A91" s="79" t="s">
        <v>1295</v>
      </c>
      <c r="B91" s="90">
        <v>-20000</v>
      </c>
      <c r="C91" s="90">
        <v>-15000</v>
      </c>
      <c r="D91" s="90">
        <v>-12000</v>
      </c>
      <c r="E91" s="90">
        <v>-12000</v>
      </c>
      <c r="F91" s="91">
        <f>SUM(B91:E91)</f>
        <v>-59000</v>
      </c>
      <c r="G91" s="91">
        <v>-48000</v>
      </c>
    </row>
    <row r="92" spans="1:7" x14ac:dyDescent="0.2">
      <c r="A92" s="89" t="s">
        <v>1271</v>
      </c>
      <c r="B92" s="93">
        <f>B88+B89+B90+B91</f>
        <v>-517400</v>
      </c>
      <c r="C92" s="93">
        <f>C88+C89+C90+C91</f>
        <v>-238400</v>
      </c>
      <c r="D92" s="93">
        <f>D88+D89+D90+D91</f>
        <v>-91650</v>
      </c>
      <c r="E92" s="93">
        <f>E88+E89+E90+E91</f>
        <v>189150</v>
      </c>
      <c r="F92" s="91">
        <f>SUM(B92:E92)</f>
        <v>-658300</v>
      </c>
      <c r="G92" s="91">
        <f>G88+G89+G90+G91</f>
        <v>1093950</v>
      </c>
    </row>
    <row r="93" spans="1:7" x14ac:dyDescent="0.2">
      <c r="A93" s="49"/>
    </row>
    <row r="94" spans="1:7" x14ac:dyDescent="0.2">
      <c r="A94" s="94" t="s">
        <v>1028</v>
      </c>
      <c r="B94" s="95">
        <f t="shared" ref="B94:G94" si="3">B85+B92</f>
        <v>-562400</v>
      </c>
      <c r="C94" s="95">
        <f t="shared" si="3"/>
        <v>-278400</v>
      </c>
      <c r="D94" s="95">
        <f t="shared" si="3"/>
        <v>-126650</v>
      </c>
      <c r="E94" s="95">
        <f t="shared" si="3"/>
        <v>157150</v>
      </c>
      <c r="F94" s="95">
        <f t="shared" si="3"/>
        <v>-810300</v>
      </c>
      <c r="G94" s="95">
        <f t="shared" si="3"/>
        <v>973950</v>
      </c>
    </row>
    <row r="95" spans="1:7" x14ac:dyDescent="0.2">
      <c r="A95" s="96" t="s">
        <v>1272</v>
      </c>
      <c r="B95" s="97">
        <f>B94</f>
        <v>-562400</v>
      </c>
      <c r="C95" s="97">
        <f>B95+C94</f>
        <v>-840800</v>
      </c>
      <c r="D95" s="97">
        <f>C95+D94</f>
        <v>-967450</v>
      </c>
      <c r="E95" s="97">
        <f>D95+E94</f>
        <v>-810300</v>
      </c>
      <c r="F95" s="97">
        <f>E95</f>
        <v>-810300</v>
      </c>
      <c r="G95" s="97">
        <f>E95+G94</f>
        <v>163650</v>
      </c>
    </row>
    <row r="96" spans="1:7" x14ac:dyDescent="0.2">
      <c r="A96" s="49"/>
    </row>
    <row r="97" spans="1:7" x14ac:dyDescent="0.2">
      <c r="A97" s="271" t="s">
        <v>1274</v>
      </c>
      <c r="B97" s="251"/>
      <c r="C97" s="251"/>
      <c r="D97" s="251"/>
      <c r="E97" s="251"/>
      <c r="F97" s="251"/>
      <c r="G97" s="251"/>
    </row>
    <row r="98" spans="1:7" x14ac:dyDescent="0.2">
      <c r="A98" s="73" t="s">
        <v>1275</v>
      </c>
      <c r="B98" s="84">
        <f>IF(B80&gt;0,B85/B80,0)</f>
        <v>-1.8518518518518519</v>
      </c>
      <c r="C98" s="84">
        <f>IF(C80&gt;0,C85/C80,0)</f>
        <v>-0.55058499655884374</v>
      </c>
      <c r="D98" s="84">
        <f>IF(D80&gt;0,D85/D80,0)</f>
        <v>-0.23148148148148148</v>
      </c>
      <c r="E98" s="84">
        <f>IF(E80&gt;0,E85/E80,0)</f>
        <v>-0.12121212121212122</v>
      </c>
      <c r="F98" s="10"/>
      <c r="G98" s="10"/>
    </row>
    <row r="99" spans="1:7" x14ac:dyDescent="0.2">
      <c r="A99" s="73" t="s">
        <v>1276</v>
      </c>
      <c r="B99" s="98">
        <f t="shared" ref="B99:G99" si="4">IF(B85&gt;0,B94/B85,0)</f>
        <v>0</v>
      </c>
      <c r="C99" s="98">
        <f t="shared" si="4"/>
        <v>0</v>
      </c>
      <c r="D99" s="98">
        <f t="shared" si="4"/>
        <v>0</v>
      </c>
      <c r="E99" s="98">
        <f t="shared" si="4"/>
        <v>0</v>
      </c>
      <c r="F99" s="99">
        <f t="shared" si="4"/>
        <v>0</v>
      </c>
      <c r="G99" s="99">
        <f t="shared" si="4"/>
        <v>0</v>
      </c>
    </row>
    <row r="101" spans="1:7" x14ac:dyDescent="0.2">
      <c r="A101" s="49"/>
    </row>
    <row r="102" spans="1:7" ht="19" customHeight="1" x14ac:dyDescent="0.25">
      <c r="A102" s="276" t="s">
        <v>1296</v>
      </c>
      <c r="B102" s="251"/>
      <c r="C102" s="251"/>
      <c r="D102" s="251"/>
      <c r="E102" s="251"/>
      <c r="F102" s="251"/>
      <c r="G102" s="251"/>
    </row>
    <row r="103" spans="1:7" x14ac:dyDescent="0.2">
      <c r="A103" s="279" t="s">
        <v>1297</v>
      </c>
      <c r="B103" s="251"/>
      <c r="C103" s="251"/>
      <c r="D103" s="251"/>
      <c r="E103" s="251"/>
      <c r="F103" s="251"/>
      <c r="G103" s="251"/>
    </row>
    <row r="104" spans="1:7" x14ac:dyDescent="0.2">
      <c r="A104" s="71" t="s">
        <v>1172</v>
      </c>
      <c r="B104" s="71" t="s">
        <v>1298</v>
      </c>
      <c r="C104" s="71" t="s">
        <v>1299</v>
      </c>
      <c r="D104" s="71" t="s">
        <v>1300</v>
      </c>
      <c r="E104" s="71" t="s">
        <v>1301</v>
      </c>
      <c r="F104" s="71" t="s">
        <v>1302</v>
      </c>
      <c r="G104" s="71" t="s">
        <v>1303</v>
      </c>
    </row>
    <row r="105" spans="1:7" x14ac:dyDescent="0.2">
      <c r="A105" s="271" t="s">
        <v>1304</v>
      </c>
      <c r="B105" s="251"/>
      <c r="C105" s="251"/>
      <c r="D105" s="251"/>
      <c r="E105" s="251"/>
      <c r="F105" s="251"/>
      <c r="G105" s="251"/>
    </row>
    <row r="106" spans="1:7" x14ac:dyDescent="0.2">
      <c r="A106" s="73" t="s">
        <v>1305</v>
      </c>
      <c r="B106" s="74" t="s">
        <v>1306</v>
      </c>
      <c r="C106" s="106">
        <v>3</v>
      </c>
      <c r="D106" s="74" t="s">
        <v>155</v>
      </c>
      <c r="E106" s="107" t="s">
        <v>1307</v>
      </c>
      <c r="F106" s="107" t="s">
        <v>1308</v>
      </c>
      <c r="G106" s="75">
        <v>1200</v>
      </c>
    </row>
    <row r="107" spans="1:7" x14ac:dyDescent="0.2">
      <c r="A107" s="108" t="s">
        <v>1309</v>
      </c>
      <c r="B107" s="109" t="s">
        <v>1310</v>
      </c>
      <c r="C107" s="110">
        <v>3</v>
      </c>
      <c r="D107" s="109" t="s">
        <v>706</v>
      </c>
      <c r="E107" s="111" t="s">
        <v>1311</v>
      </c>
      <c r="F107" s="111" t="s">
        <v>1312</v>
      </c>
      <c r="G107" s="112">
        <v>900</v>
      </c>
    </row>
    <row r="108" spans="1:7" x14ac:dyDescent="0.2">
      <c r="A108" s="73" t="s">
        <v>1313</v>
      </c>
      <c r="B108" s="74" t="s">
        <v>1314</v>
      </c>
      <c r="C108" s="74">
        <v>2</v>
      </c>
      <c r="D108" s="74" t="s">
        <v>707</v>
      </c>
      <c r="E108" s="107" t="s">
        <v>1315</v>
      </c>
      <c r="F108" s="107" t="s">
        <v>1316</v>
      </c>
      <c r="G108" s="75">
        <v>600</v>
      </c>
    </row>
    <row r="109" spans="1:7" x14ac:dyDescent="0.2">
      <c r="A109" s="49"/>
    </row>
    <row r="110" spans="1:7" x14ac:dyDescent="0.2">
      <c r="A110" s="282" t="s">
        <v>1317</v>
      </c>
      <c r="B110" s="251"/>
      <c r="C110" s="251"/>
      <c r="D110" s="251"/>
      <c r="E110" s="251"/>
      <c r="F110" s="251"/>
      <c r="G110" s="251"/>
    </row>
    <row r="111" spans="1:7" x14ac:dyDescent="0.2">
      <c r="A111" s="87" t="s">
        <v>1194</v>
      </c>
      <c r="B111" s="114" t="s">
        <v>1318</v>
      </c>
      <c r="C111" s="115">
        <v>8</v>
      </c>
      <c r="D111" s="114" t="s">
        <v>1319</v>
      </c>
      <c r="E111" s="117">
        <f>F55</f>
        <v>298090</v>
      </c>
      <c r="F111" s="117">
        <f>G55</f>
        <v>1085090</v>
      </c>
      <c r="G111" s="118">
        <v>8350</v>
      </c>
    </row>
    <row r="112" spans="1:7" x14ac:dyDescent="0.2">
      <c r="A112" s="119" t="s">
        <v>1320</v>
      </c>
      <c r="B112" s="74" t="s">
        <v>1321</v>
      </c>
      <c r="C112" s="106">
        <v>10</v>
      </c>
      <c r="D112" s="74" t="s">
        <v>707</v>
      </c>
      <c r="E112" s="120">
        <f>F90</f>
        <v>29150</v>
      </c>
      <c r="F112" s="120">
        <f>G90</f>
        <v>585550</v>
      </c>
      <c r="G112" s="78">
        <v>8300</v>
      </c>
    </row>
    <row r="113" spans="1:7" x14ac:dyDescent="0.2">
      <c r="A113" s="113" t="s">
        <v>1202</v>
      </c>
      <c r="B113" s="114" t="s">
        <v>1322</v>
      </c>
      <c r="C113" s="115">
        <v>3</v>
      </c>
      <c r="D113" s="114" t="s">
        <v>708</v>
      </c>
      <c r="E113" s="116" t="s">
        <v>1323</v>
      </c>
      <c r="F113" s="116" t="s">
        <v>1324</v>
      </c>
      <c r="G113" s="121">
        <v>800</v>
      </c>
    </row>
    <row r="114" spans="1:7" x14ac:dyDescent="0.2">
      <c r="A114" s="49"/>
    </row>
    <row r="115" spans="1:7" x14ac:dyDescent="0.2">
      <c r="A115" s="277" t="s">
        <v>1325</v>
      </c>
      <c r="B115" s="251"/>
      <c r="C115" s="251"/>
      <c r="D115" s="251"/>
      <c r="E115" s="251"/>
      <c r="F115" s="251"/>
      <c r="G115" s="251"/>
    </row>
    <row r="116" spans="1:7" x14ac:dyDescent="0.2">
      <c r="A116" s="122" t="s">
        <v>1326</v>
      </c>
      <c r="B116" s="123" t="s">
        <v>1327</v>
      </c>
      <c r="C116" s="123" t="s">
        <v>1328</v>
      </c>
      <c r="D116" s="123" t="s">
        <v>584</v>
      </c>
      <c r="E116" s="124" t="s">
        <v>1329</v>
      </c>
      <c r="F116" s="124" t="s">
        <v>1329</v>
      </c>
      <c r="G116" s="124" t="s">
        <v>1329</v>
      </c>
    </row>
    <row r="117" spans="1:7" x14ac:dyDescent="0.2">
      <c r="A117" s="49"/>
    </row>
    <row r="118" spans="1:7" x14ac:dyDescent="0.2">
      <c r="A118" s="94" t="s">
        <v>1330</v>
      </c>
      <c r="B118" s="125" t="s">
        <v>1331</v>
      </c>
      <c r="C118" s="125" t="s">
        <v>1332</v>
      </c>
      <c r="D118" s="125" t="s">
        <v>1333</v>
      </c>
      <c r="E118" s="125" t="s">
        <v>1334</v>
      </c>
      <c r="F118" s="125" t="s">
        <v>1335</v>
      </c>
      <c r="G118" s="125" t="s">
        <v>1336</v>
      </c>
    </row>
    <row r="119" spans="1:7" x14ac:dyDescent="0.2">
      <c r="A119" s="49"/>
    </row>
    <row r="120" spans="1:7" x14ac:dyDescent="0.2">
      <c r="A120" s="284" t="s">
        <v>1337</v>
      </c>
      <c r="B120" s="251"/>
      <c r="C120" s="251"/>
      <c r="D120" s="251"/>
      <c r="E120" s="251"/>
      <c r="F120" s="251"/>
      <c r="G120" s="251"/>
    </row>
    <row r="121" spans="1:7" x14ac:dyDescent="0.2">
      <c r="A121" s="10"/>
    </row>
    <row r="122" spans="1:7" x14ac:dyDescent="0.2">
      <c r="A122" s="71" t="s">
        <v>1338</v>
      </c>
      <c r="B122" s="71" t="s">
        <v>1339</v>
      </c>
      <c r="C122" s="71" t="s">
        <v>1340</v>
      </c>
      <c r="D122" s="71" t="s">
        <v>1341</v>
      </c>
    </row>
    <row r="123" spans="1:7" x14ac:dyDescent="0.2">
      <c r="A123" s="76" t="s">
        <v>1342</v>
      </c>
      <c r="B123" s="116" t="s">
        <v>1343</v>
      </c>
      <c r="C123" s="124" t="s">
        <v>1344</v>
      </c>
      <c r="D123" s="126" t="s">
        <v>1345</v>
      </c>
    </row>
    <row r="124" spans="1:7" x14ac:dyDescent="0.2">
      <c r="A124" s="119" t="s">
        <v>1346</v>
      </c>
      <c r="B124" s="116" t="s">
        <v>1347</v>
      </c>
      <c r="C124" s="124" t="s">
        <v>1348</v>
      </c>
      <c r="D124" s="126" t="s">
        <v>1349</v>
      </c>
    </row>
    <row r="125" spans="1:7" x14ac:dyDescent="0.2">
      <c r="A125" s="76" t="s">
        <v>1250</v>
      </c>
      <c r="B125" s="116" t="s">
        <v>1350</v>
      </c>
      <c r="C125" s="124" t="s">
        <v>1351</v>
      </c>
      <c r="D125" s="126" t="s">
        <v>1352</v>
      </c>
    </row>
    <row r="126" spans="1:7" x14ac:dyDescent="0.2">
      <c r="A126" s="119" t="s">
        <v>1353</v>
      </c>
      <c r="B126" s="116" t="s">
        <v>1354</v>
      </c>
      <c r="C126" s="124" t="s">
        <v>1355</v>
      </c>
      <c r="D126" s="126" t="s">
        <v>1356</v>
      </c>
    </row>
    <row r="127" spans="1:7" x14ac:dyDescent="0.2">
      <c r="A127" s="76" t="s">
        <v>1357</v>
      </c>
      <c r="B127" s="116" t="s">
        <v>1358</v>
      </c>
      <c r="C127" s="124" t="s">
        <v>1359</v>
      </c>
      <c r="D127" s="126" t="s">
        <v>1360</v>
      </c>
    </row>
    <row r="128" spans="1:7" x14ac:dyDescent="0.2">
      <c r="A128" s="119" t="s">
        <v>1361</v>
      </c>
      <c r="B128" s="116" t="s">
        <v>1362</v>
      </c>
      <c r="C128" s="124" t="s">
        <v>1363</v>
      </c>
      <c r="D128" s="126" t="s">
        <v>1364</v>
      </c>
    </row>
  </sheetData>
  <mergeCells count="30">
    <mergeCell ref="A120:G120"/>
    <mergeCell ref="A21:G21"/>
    <mergeCell ref="A105:G105"/>
    <mergeCell ref="A2:G2"/>
    <mergeCell ref="A23:G23"/>
    <mergeCell ref="A1:G1"/>
    <mergeCell ref="A110:G110"/>
    <mergeCell ref="A87:G87"/>
    <mergeCell ref="A75:G75"/>
    <mergeCell ref="A18:G18"/>
    <mergeCell ref="A115:G115"/>
    <mergeCell ref="A58:G58"/>
    <mergeCell ref="A102:G102"/>
    <mergeCell ref="A65:B65"/>
    <mergeCell ref="C65:D65"/>
    <mergeCell ref="A77:G77"/>
    <mergeCell ref="A64:G64"/>
    <mergeCell ref="A82:G82"/>
    <mergeCell ref="A103:G103"/>
    <mergeCell ref="A97:G97"/>
    <mergeCell ref="A4:G4"/>
    <mergeCell ref="A20:G20"/>
    <mergeCell ref="A38:G38"/>
    <mergeCell ref="A43:G43"/>
    <mergeCell ref="C26:D26"/>
    <mergeCell ref="A63:G63"/>
    <mergeCell ref="A48:G48"/>
    <mergeCell ref="A24:G24"/>
    <mergeCell ref="A36:G36"/>
    <mergeCell ref="A26:B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8000"/>
  </sheetPr>
  <dimension ref="A1:G37"/>
  <sheetViews>
    <sheetView zoomScale="94" workbookViewId="0"/>
  </sheetViews>
  <sheetFormatPr baseColWidth="10" defaultRowHeight="16" x14ac:dyDescent="0.2"/>
  <cols>
    <col min="1" max="1" width="50" customWidth="1"/>
    <col min="2" max="2" width="23.33203125" customWidth="1"/>
    <col min="3" max="3" width="29.33203125" bestFit="1" customWidth="1"/>
    <col min="4" max="7" width="23.33203125" customWidth="1"/>
  </cols>
  <sheetData>
    <row r="1" spans="1:7" ht="24" customHeight="1" x14ac:dyDescent="0.3">
      <c r="A1" s="26" t="s">
        <v>1365</v>
      </c>
      <c r="B1" s="1"/>
      <c r="C1" s="1"/>
      <c r="D1" s="1"/>
      <c r="E1" s="1"/>
      <c r="F1" s="1"/>
      <c r="G1" s="1"/>
    </row>
    <row r="2" spans="1:7" x14ac:dyDescent="0.2">
      <c r="A2" s="173" t="s">
        <v>1366</v>
      </c>
    </row>
    <row r="4" spans="1:7" ht="18" customHeight="1" x14ac:dyDescent="0.25">
      <c r="A4" s="27" t="s">
        <v>1367</v>
      </c>
      <c r="B4" s="2"/>
      <c r="C4" s="2"/>
      <c r="D4" s="2"/>
      <c r="E4" s="2"/>
      <c r="F4" s="2"/>
      <c r="G4" s="2"/>
    </row>
    <row r="5" spans="1:7" x14ac:dyDescent="0.2">
      <c r="A5" s="8" t="s">
        <v>1368</v>
      </c>
      <c r="B5" s="9" t="s">
        <v>1369</v>
      </c>
      <c r="C5" s="9" t="s">
        <v>1370</v>
      </c>
      <c r="D5" s="9" t="s">
        <v>1371</v>
      </c>
      <c r="E5" s="9" t="s">
        <v>1372</v>
      </c>
      <c r="F5" s="9" t="s">
        <v>1373</v>
      </c>
      <c r="G5" s="9" t="s">
        <v>1374</v>
      </c>
    </row>
    <row r="6" spans="1:7" x14ac:dyDescent="0.2">
      <c r="A6" s="7" t="s">
        <v>1375</v>
      </c>
      <c r="B6" s="14" t="s">
        <v>1376</v>
      </c>
      <c r="C6" s="14" t="s">
        <v>1377</v>
      </c>
      <c r="D6" s="134">
        <v>25000</v>
      </c>
      <c r="E6" s="19">
        <f>D6*12</f>
        <v>300000</v>
      </c>
      <c r="F6" s="132">
        <v>0.85</v>
      </c>
      <c r="G6" s="14" t="s">
        <v>1072</v>
      </c>
    </row>
    <row r="7" spans="1:7" x14ac:dyDescent="0.2">
      <c r="A7" s="173" t="s">
        <v>1378</v>
      </c>
    </row>
    <row r="8" spans="1:7" x14ac:dyDescent="0.2">
      <c r="A8" s="7" t="s">
        <v>1379</v>
      </c>
      <c r="B8" s="14" t="s">
        <v>1380</v>
      </c>
      <c r="C8" s="14" t="s">
        <v>1381</v>
      </c>
      <c r="D8" s="134">
        <v>35000</v>
      </c>
      <c r="E8" s="19">
        <f>D8*12</f>
        <v>420000</v>
      </c>
      <c r="F8" s="132">
        <v>0.7</v>
      </c>
      <c r="G8" s="14" t="s">
        <v>1072</v>
      </c>
    </row>
    <row r="9" spans="1:7" x14ac:dyDescent="0.2">
      <c r="A9" s="173" t="s">
        <v>1382</v>
      </c>
    </row>
    <row r="10" spans="1:7" x14ac:dyDescent="0.2">
      <c r="A10" s="7" t="s">
        <v>1383</v>
      </c>
      <c r="B10" s="14" t="s">
        <v>1384</v>
      </c>
      <c r="C10" s="14" t="s">
        <v>1385</v>
      </c>
      <c r="D10" s="134">
        <v>40000</v>
      </c>
      <c r="E10" s="19">
        <f>D10*12</f>
        <v>480000</v>
      </c>
      <c r="F10" s="132">
        <v>0.4</v>
      </c>
      <c r="G10" s="14" t="s">
        <v>1061</v>
      </c>
    </row>
    <row r="11" spans="1:7" x14ac:dyDescent="0.2">
      <c r="A11" s="173" t="s">
        <v>1386</v>
      </c>
    </row>
    <row r="12" spans="1:7" x14ac:dyDescent="0.2">
      <c r="A12" s="7" t="s">
        <v>1387</v>
      </c>
      <c r="B12" s="14" t="s">
        <v>1388</v>
      </c>
      <c r="C12" s="14" t="s">
        <v>1389</v>
      </c>
      <c r="D12" s="134">
        <v>20000</v>
      </c>
      <c r="E12" s="19">
        <f>D12*12</f>
        <v>240000</v>
      </c>
      <c r="F12" s="132">
        <v>0.9</v>
      </c>
      <c r="G12" s="14" t="s">
        <v>1067</v>
      </c>
    </row>
    <row r="13" spans="1:7" x14ac:dyDescent="0.2">
      <c r="A13" s="173" t="s">
        <v>1390</v>
      </c>
    </row>
    <row r="14" spans="1:7" x14ac:dyDescent="0.2">
      <c r="A14" s="7" t="s">
        <v>1391</v>
      </c>
      <c r="B14" s="14" t="s">
        <v>1392</v>
      </c>
      <c r="C14" s="14" t="s">
        <v>1393</v>
      </c>
      <c r="D14" s="134">
        <v>15000</v>
      </c>
      <c r="E14" s="19">
        <f>D14*12</f>
        <v>180000</v>
      </c>
      <c r="F14" s="132">
        <v>0.95</v>
      </c>
      <c r="G14" s="14" t="s">
        <v>1067</v>
      </c>
    </row>
    <row r="15" spans="1:7" x14ac:dyDescent="0.2">
      <c r="A15" s="173" t="s">
        <v>1394</v>
      </c>
    </row>
    <row r="16" spans="1:7" x14ac:dyDescent="0.2">
      <c r="A16" s="7" t="s">
        <v>1395</v>
      </c>
      <c r="B16" s="14" t="s">
        <v>1396</v>
      </c>
      <c r="C16" s="14" t="s">
        <v>1397</v>
      </c>
      <c r="D16" s="134">
        <v>8000</v>
      </c>
      <c r="E16" s="19">
        <f>D16*12</f>
        <v>96000</v>
      </c>
      <c r="F16" s="132">
        <v>0.95</v>
      </c>
      <c r="G16" s="14" t="s">
        <v>1072</v>
      </c>
    </row>
    <row r="17" spans="1:7" x14ac:dyDescent="0.2">
      <c r="A17" s="173" t="s">
        <v>1398</v>
      </c>
    </row>
    <row r="18" spans="1:7" x14ac:dyDescent="0.2">
      <c r="A18" s="7" t="s">
        <v>1399</v>
      </c>
      <c r="B18" s="14" t="s">
        <v>1400</v>
      </c>
      <c r="C18" s="14" t="s">
        <v>1401</v>
      </c>
      <c r="D18" s="134">
        <v>30000</v>
      </c>
      <c r="E18" s="19">
        <f>D18*12</f>
        <v>360000</v>
      </c>
      <c r="F18" s="132">
        <v>0.8</v>
      </c>
      <c r="G18" s="14" t="s">
        <v>1072</v>
      </c>
    </row>
    <row r="19" spans="1:7" x14ac:dyDescent="0.2">
      <c r="A19" s="173" t="s">
        <v>1402</v>
      </c>
    </row>
    <row r="21" spans="1:7" x14ac:dyDescent="0.2">
      <c r="A21" s="11" t="s">
        <v>1403</v>
      </c>
      <c r="D21" s="20">
        <f>SUM(D6,D8,D10,D12,D14,D16,D18)</f>
        <v>173000</v>
      </c>
      <c r="E21" s="20">
        <f>D21*12</f>
        <v>2076000</v>
      </c>
    </row>
    <row r="22" spans="1:7" x14ac:dyDescent="0.2">
      <c r="A22" s="6" t="s">
        <v>1404</v>
      </c>
      <c r="E22" s="148">
        <f>E21/'Multi-Year Projections'!F21</f>
        <v>0.44060463564701929</v>
      </c>
    </row>
    <row r="24" spans="1:7" ht="18" customHeight="1" x14ac:dyDescent="0.25">
      <c r="A24" s="27" t="s">
        <v>1405</v>
      </c>
      <c r="B24" s="2"/>
      <c r="C24" s="2"/>
      <c r="D24" s="2"/>
      <c r="E24" s="2"/>
      <c r="F24" s="2"/>
      <c r="G24" s="2"/>
    </row>
    <row r="25" spans="1:7" x14ac:dyDescent="0.2">
      <c r="A25" s="8" t="s">
        <v>1406</v>
      </c>
      <c r="B25" s="9" t="s">
        <v>1407</v>
      </c>
      <c r="C25" s="9" t="s">
        <v>1291</v>
      </c>
      <c r="D25" s="9" t="s">
        <v>50</v>
      </c>
      <c r="E25" s="9" t="s">
        <v>1408</v>
      </c>
      <c r="F25" s="9" t="s">
        <v>1409</v>
      </c>
    </row>
    <row r="26" spans="1:7" x14ac:dyDescent="0.2">
      <c r="A26" s="6" t="s">
        <v>868</v>
      </c>
      <c r="B26" s="139">
        <f>'Multi-Year Projections'!B21</f>
        <v>143881.25</v>
      </c>
      <c r="C26" s="139">
        <f>'Multi-Year Projections'!B22</f>
        <v>0</v>
      </c>
      <c r="D26" s="139">
        <f>'Multi-Year Projections'!B23</f>
        <v>143881.25</v>
      </c>
      <c r="E26" s="24">
        <f>IF(D26=0,0,C26/D26)</f>
        <v>0</v>
      </c>
      <c r="F26" s="14" t="s">
        <v>1410</v>
      </c>
    </row>
    <row r="27" spans="1:7" x14ac:dyDescent="0.2">
      <c r="A27" s="6" t="s">
        <v>869</v>
      </c>
      <c r="B27" s="139">
        <f>'Multi-Year Projections'!C21</f>
        <v>816763.50000000023</v>
      </c>
      <c r="C27" s="139">
        <f>'Multi-Year Projections'!C22</f>
        <v>24120</v>
      </c>
      <c r="D27" s="139">
        <f>'Multi-Year Projections'!C23</f>
        <v>840883.50000000023</v>
      </c>
      <c r="E27" s="24">
        <f>IF(D27=0,0,C27/D27)</f>
        <v>2.8684116170670484E-2</v>
      </c>
      <c r="F27" s="14" t="s">
        <v>1411</v>
      </c>
    </row>
    <row r="28" spans="1:7" x14ac:dyDescent="0.2">
      <c r="A28" s="6" t="s">
        <v>870</v>
      </c>
      <c r="B28" s="139">
        <f>'Multi-Year Projections'!D21</f>
        <v>1712220.7410000004</v>
      </c>
      <c r="C28" s="139">
        <f>'Multi-Year Projections'!D22</f>
        <v>118140</v>
      </c>
      <c r="D28" s="139">
        <f>'Multi-Year Projections'!D23</f>
        <v>1830360.7410000004</v>
      </c>
      <c r="E28" s="24">
        <f>IF(D28=0,0,C28/D28)</f>
        <v>6.4544653604980254E-2</v>
      </c>
      <c r="F28" s="14" t="s">
        <v>1412</v>
      </c>
    </row>
    <row r="29" spans="1:7" x14ac:dyDescent="0.2">
      <c r="A29" s="6" t="s">
        <v>871</v>
      </c>
      <c r="B29" s="139">
        <f>'Multi-Year Projections'!E21</f>
        <v>3034126.4593500006</v>
      </c>
      <c r="C29" s="139">
        <f>'Multi-Year Projections'!E22</f>
        <v>358884</v>
      </c>
      <c r="D29" s="139">
        <f>'Multi-Year Projections'!E23</f>
        <v>3393010.4593500006</v>
      </c>
      <c r="E29" s="24">
        <f>IF(D29=0,0,C29/D29)</f>
        <v>0.10577155723497282</v>
      </c>
      <c r="F29" s="14" t="s">
        <v>1413</v>
      </c>
    </row>
    <row r="30" spans="1:7" x14ac:dyDescent="0.2">
      <c r="A30" s="11" t="s">
        <v>872</v>
      </c>
      <c r="B30" s="181">
        <f>'Multi-Year Projections'!F21</f>
        <v>4711707.1225350015</v>
      </c>
      <c r="C30" s="181">
        <f>'Multi-Year Projections'!F22</f>
        <v>841680</v>
      </c>
      <c r="D30" s="181">
        <f>'Multi-Year Projections'!F23</f>
        <v>5553387.1225350015</v>
      </c>
      <c r="E30" s="169">
        <f>IF(D30=0,0,C30/D30)</f>
        <v>0.15156155719534842</v>
      </c>
      <c r="F30" s="12" t="s">
        <v>1414</v>
      </c>
    </row>
    <row r="32" spans="1:7" ht="18" customHeight="1" x14ac:dyDescent="0.25">
      <c r="A32" s="29" t="s">
        <v>1415</v>
      </c>
      <c r="B32" s="1"/>
      <c r="C32" s="1"/>
      <c r="D32" s="1"/>
      <c r="E32" s="1"/>
      <c r="F32" s="1"/>
      <c r="G32" s="1"/>
    </row>
    <row r="34" spans="1:1" x14ac:dyDescent="0.2">
      <c r="A34" s="6" t="s">
        <v>1416</v>
      </c>
    </row>
    <row r="35" spans="1:1" x14ac:dyDescent="0.2">
      <c r="A35" s="6" t="s">
        <v>1417</v>
      </c>
    </row>
    <row r="36" spans="1:1" x14ac:dyDescent="0.2">
      <c r="A36" s="6" t="s">
        <v>1418</v>
      </c>
    </row>
    <row r="37" spans="1:1" x14ac:dyDescent="0.2">
      <c r="A37" s="6" t="s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Pipeline Fixes</vt:lpstr>
      <vt:lpstr>Rider Economics</vt:lpstr>
      <vt:lpstr>Rider Strategy v2</vt:lpstr>
      <vt:lpstr>Assumptions</vt:lpstr>
      <vt:lpstr>Tiered Plans</vt:lpstr>
      <vt:lpstr>Monthly P&amp;L</vt:lpstr>
      <vt:lpstr>Unit Economics</vt:lpstr>
      <vt:lpstr>Cash Flow</vt:lpstr>
      <vt:lpstr>Stress Tests</vt:lpstr>
      <vt:lpstr>Multi-Year Projections</vt:lpstr>
      <vt:lpstr>Executive Summary</vt:lpstr>
      <vt:lpstr>Market Expansion</vt:lpstr>
      <vt:lpstr>Future Revenue 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 Al Zubi</dc:creator>
  <cp:lastModifiedBy>Rad Al Zubi</cp:lastModifiedBy>
  <dcterms:created xsi:type="dcterms:W3CDTF">2026-02-10T18:54:01Z</dcterms:created>
  <dcterms:modified xsi:type="dcterms:W3CDTF">2026-02-28T23:32:23Z</dcterms:modified>
</cp:coreProperties>
</file>